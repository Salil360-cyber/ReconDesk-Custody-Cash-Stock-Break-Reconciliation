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-off" sheetId="1" state="visible" r:id="rId3"/>
    <sheet name="Breaks" sheetId="2" state="visible" r:id="rId4"/>
    <sheet name="Aging" sheetId="3" state="visible" r:id="rId5"/>
    <sheet name="Cash Recon" sheetId="4" state="visible" r:id="rId6"/>
    <sheet name="Stock Recon" sheetId="5" state="visible" r:id="rId7"/>
    <sheet name="Assumptions" sheetId="6" state="visible" r:id="rId8"/>
  </sheets>
  <definedNames>
    <definedName function="false" hidden="true" localSheetId="1" name="_xlnm._FilterDatabase" vbProcedure="false">Breaks!$A$1:$V$36</definedName>
    <definedName function="false" hidden="true" localSheetId="3" name="_xlnm._FilterDatabase" vbProcedure="false">'Cash Recon'!$A$1:$K$200</definedName>
    <definedName function="false" hidden="true" localSheetId="4" name="_xlnm._FilterDatabase" vbProcedure="false">'Stock Recon'!$A$1:$K$46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<sst xmlns="http://schemas.openxmlformats.org/spreadsheetml/2006/main" count="2578" uniqueCount="465">
  <si>
    <t xml:space="preserve">ReconDesk - Daily Custody Reconciliation Control</t>
  </si>
  <si>
    <t xml:space="preserve">Business date (as of): 2026-10-23</t>
  </si>
  <si>
    <t xml:space="preserve">Explanations generated by: rules only (AI disabled with --no-ai)</t>
  </si>
  <si>
    <t xml:space="preserve">Synthetic data for portfolio demonstration. Figures below are live formulas.</t>
  </si>
  <si>
    <t xml:space="preserve">Headline</t>
  </si>
  <si>
    <t xml:space="preserve">Cash</t>
  </si>
  <si>
    <t xml:space="preserve">Stock</t>
  </si>
  <si>
    <t xml:space="preserve">Items reconciled</t>
  </si>
  <si>
    <t xml:space="preserve">Matched (incl. within tolerance)</t>
  </si>
  <si>
    <t xml:space="preserve">Breaks</t>
  </si>
  <si>
    <t xml:space="preserve">Match rate</t>
  </si>
  <si>
    <t xml:space="preserve">Break value (INR eq., absolute)</t>
  </si>
  <si>
    <t xml:space="preserve">HIGH priority breaks</t>
  </si>
  <si>
    <t xml:space="preserve">Cash breaks by type</t>
  </si>
  <si>
    <t xml:space="preserve">Count</t>
  </si>
  <si>
    <t xml:space="preserve">Value (INR eq.)</t>
  </si>
  <si>
    <t xml:space="preserve">AMOUNT_DIFF</t>
  </si>
  <si>
    <t xml:space="preserve">TIMING_DIFF</t>
  </si>
  <si>
    <t xml:space="preserve">MISSING_AT_CUSTODIAN</t>
  </si>
  <si>
    <t xml:space="preserve">MISSING_IN_BOOKS</t>
  </si>
  <si>
    <t xml:space="preserve">DUPLICATE_IN_BOOKS</t>
  </si>
  <si>
    <t xml:space="preserve">DUPLICATE_AT_CUSTODIAN</t>
  </si>
  <si>
    <t xml:space="preserve">Stock breaks by type</t>
  </si>
  <si>
    <t xml:space="preserve">QTY_BREAK</t>
  </si>
  <si>
    <t xml:space="preserve">Sign-off checklist</t>
  </si>
  <si>
    <t xml:space="preserve">Result</t>
  </si>
  <si>
    <t xml:space="preserve">Cash reconciliation completed</t>
  </si>
  <si>
    <t xml:space="preserve">Stock reconciliation completed</t>
  </si>
  <si>
    <t xml:space="preserve">Every HIGH break has an owner</t>
  </si>
  <si>
    <t xml:space="preserve">No break aged 8+ days</t>
  </si>
  <si>
    <t xml:space="preserve">Breaks still OPEN (not yet worked)</t>
  </si>
  <si>
    <t xml:space="preserve">Breaks ESCALATED</t>
  </si>
  <si>
    <t xml:space="preserve">Breaks RESOLVED today</t>
  </si>
  <si>
    <t xml:space="preserve">Prepared by</t>
  </si>
  <si>
    <t xml:space="preserve">Reviewed by</t>
  </si>
  <si>
    <t xml:space="preserve">Sign-off time</t>
  </si>
  <si>
    <t xml:space="preserve">Yellow cells (here and on the Breaks sheet) are for the analyst to fill in.</t>
  </si>
  <si>
    <t xml:space="preserve">Break ID</t>
  </si>
  <si>
    <t xml:space="preserve">Recon</t>
  </si>
  <si>
    <t xml:space="preserve">Account</t>
  </si>
  <si>
    <t xml:space="preserve">Reference / Position</t>
  </si>
  <si>
    <t xml:space="preserve">Txn Type / Security</t>
  </si>
  <si>
    <t xml:space="preserve">Ccy</t>
  </si>
  <si>
    <t xml:space="preserve">Break Type</t>
  </si>
  <si>
    <t xml:space="preserve">Books</t>
  </si>
  <si>
    <t xml:space="preserve">Custodian</t>
  </si>
  <si>
    <t xml:space="preserve">Difference</t>
  </si>
  <si>
    <t xml:space="preserve">Difference (INR eq.)</t>
  </si>
  <si>
    <t xml:space="preserve">Books Date</t>
  </si>
  <si>
    <t xml:space="preserve">Custodian Date</t>
  </si>
  <si>
    <t xml:space="preserve">Age (days)</t>
  </si>
  <si>
    <t xml:space="preserve">Age Bucket</t>
  </si>
  <si>
    <t xml:space="preserve">Priority</t>
  </si>
  <si>
    <t xml:space="preserve">Probable Cause</t>
  </si>
  <si>
    <t xml:space="preserve">Explanation</t>
  </si>
  <si>
    <t xml:space="preserve">Next Action</t>
  </si>
  <si>
    <t xml:space="preserve">Owner</t>
  </si>
  <si>
    <t xml:space="preserve">Resolution Status</t>
  </si>
  <si>
    <t xml:space="preserve">Comments</t>
  </si>
  <si>
    <t xml:space="preserve">BRK-0001</t>
  </si>
  <si>
    <t xml:space="preserve">CASH</t>
  </si>
  <si>
    <t xml:space="preserve">ACC-1001</t>
  </si>
  <si>
    <t xml:space="preserve">CSH214576</t>
  </si>
  <si>
    <t xml:space="preserve">TRADE_SETTLEMENT</t>
  </si>
  <si>
    <t xml:space="preserve">USD</t>
  </si>
  <si>
    <t xml:space="preserve">2026-10-16</t>
  </si>
  <si>
    <t xml:space="preserve">2026-10-19</t>
  </si>
  <si>
    <t xml:space="preserve">4-7 days</t>
  </si>
  <si>
    <t xml:space="preserve">HIGH</t>
  </si>
  <si>
    <t xml:space="preserve">SETTLEMENT_LAG</t>
  </si>
  <si>
    <t xml:space="preserve">Same transaction, custodian value date is later than books. Usually a settlement delay.</t>
  </si>
  <si>
    <t xml:space="preserve">Confirm the actual settlement date with the custodian; expected to auto-clear. Escalate if it stays open past T+3.</t>
  </si>
  <si>
    <t xml:space="preserve">OPEN</t>
  </si>
  <si>
    <t xml:space="preserve">BRK-0002</t>
  </si>
  <si>
    <t xml:space="preserve">STOCK</t>
  </si>
  <si>
    <t xml:space="preserve">ACC-1001|US9Z01S10017</t>
  </si>
  <si>
    <t xml:space="preserve">US9Z01S10017 Harbor Tech Inc</t>
  </si>
  <si>
    <t xml:space="preserve">2026-10-23</t>
  </si>
  <si>
    <t xml:space="preserve">0-1 days</t>
  </si>
  <si>
    <t xml:space="preserve">POSITION_NOT_AT_CUSTODIAN</t>
  </si>
  <si>
    <t xml:space="preserve">Books show a holding the custodian does not hold.</t>
  </si>
  <si>
    <t xml:space="preserve">Check whether the purchase settled and whether the securities were delivered to the right account.</t>
  </si>
  <si>
    <t xml:space="preserve">BRK-0003</t>
  </si>
  <si>
    <t xml:space="preserve">ACC-1005</t>
  </si>
  <si>
    <t xml:space="preserve">ACC-1005|US9Z01S10017</t>
  </si>
  <si>
    <t xml:space="preserve">UNBOOKED_POSITION</t>
  </si>
  <si>
    <t xml:space="preserve">Custodian holds a position that is not in the books.</t>
  </si>
  <si>
    <t xml:space="preserve">Find the trade or transfer behind it and book it, or ask the custodian to correct the account.</t>
  </si>
  <si>
    <t xml:space="preserve">BRK-0004</t>
  </si>
  <si>
    <t xml:space="preserve">ACC-1004</t>
  </si>
  <si>
    <t xml:space="preserve">CSH246991</t>
  </si>
  <si>
    <t xml:space="preserve">2026-10-17</t>
  </si>
  <si>
    <t xml:space="preserve">BRK-0005</t>
  </si>
  <si>
    <t xml:space="preserve">ACC-1002</t>
  </si>
  <si>
    <t xml:space="preserve">CSH864491</t>
  </si>
  <si>
    <t xml:space="preserve">2026-10-21</t>
  </si>
  <si>
    <t xml:space="preserve">2-3 days</t>
  </si>
  <si>
    <t xml:space="preserve">POSSIBLE_FAILED_SETTLEMENT</t>
  </si>
  <si>
    <t xml:space="preserve">Trade settlement is in the books but no cash moved at the custodian. The trade may have failed or is pending.</t>
  </si>
  <si>
    <t xml:space="preserve">Check settlement status with the custodian / counterparty; if failed, update books and inform the client.</t>
  </si>
  <si>
    <t xml:space="preserve">BRK-0006</t>
  </si>
  <si>
    <t xml:space="preserve">ACC-1005|US9Z02S10015</t>
  </si>
  <si>
    <t xml:space="preserve">US9Z02S10015 Summit Health Corp</t>
  </si>
  <si>
    <t xml:space="preserve">UNBOOKED_CORPORATE_ACTION</t>
  </si>
  <si>
    <t xml:space="preserve">Custodian processed a corporate action that the books have not captured.</t>
  </si>
  <si>
    <t xml:space="preserve">Check the corporate action announcement and entitlement, then book the event.</t>
  </si>
  <si>
    <t xml:space="preserve">BRK-0007</t>
  </si>
  <si>
    <t xml:space="preserve">ACC-1002|INE108S01015</t>
  </si>
  <si>
    <t xml:space="preserve">INE108S01015 Kaveri Finance Ltd</t>
  </si>
  <si>
    <t xml:space="preserve">INR</t>
  </si>
  <si>
    <t xml:space="preserve">BRK-0008</t>
  </si>
  <si>
    <t xml:space="preserve">ACC-1003</t>
  </si>
  <si>
    <t xml:space="preserve">ACC-1003|INE101S01019</t>
  </si>
  <si>
    <t xml:space="preserve">INE101S01019 Aravali Power Ltd</t>
  </si>
  <si>
    <t xml:space="preserve">BRK-0009</t>
  </si>
  <si>
    <t xml:space="preserve">CSH471507</t>
  </si>
  <si>
    <t xml:space="preserve">CORPORATE_ACTION_CASH</t>
  </si>
  <si>
    <t xml:space="preserve">BRK-0010</t>
  </si>
  <si>
    <t xml:space="preserve">CSH156802</t>
  </si>
  <si>
    <t xml:space="preserve">2026-10-22</t>
  </si>
  <si>
    <t xml:space="preserve">BRK-0011</t>
  </si>
  <si>
    <t xml:space="preserve">CSH198907</t>
  </si>
  <si>
    <t xml:space="preserve">CUSTODIAN_DUPLICATE</t>
  </si>
  <si>
    <t xml:space="preserve">The custodian statement shows the same movement twice.</t>
  </si>
  <si>
    <t xml:space="preserve">Raise a query with the custodian to reverse the duplicate movement.</t>
  </si>
  <si>
    <t xml:space="preserve">BRK-0012</t>
  </si>
  <si>
    <t xml:space="preserve">CSH300896</t>
  </si>
  <si>
    <t xml:space="preserve">BRK-0013</t>
  </si>
  <si>
    <t xml:space="preserve">CSH299448</t>
  </si>
  <si>
    <t xml:space="preserve">2026-10-18</t>
  </si>
  <si>
    <t xml:space="preserve">2026-10-20</t>
  </si>
  <si>
    <t xml:space="preserve">BRK-0014</t>
  </si>
  <si>
    <t xml:space="preserve">CSH570405</t>
  </si>
  <si>
    <t xml:space="preserve">BRK-0015</t>
  </si>
  <si>
    <t xml:space="preserve">ACC-1003|INE107S01017</t>
  </si>
  <si>
    <t xml:space="preserve">INE107S01017 Satpura Telecom Ltd</t>
  </si>
  <si>
    <t xml:space="preserve">BRK-0016</t>
  </si>
  <si>
    <t xml:space="preserve">CSH939482</t>
  </si>
  <si>
    <t xml:space="preserve">BRK-0017</t>
  </si>
  <si>
    <t xml:space="preserve">CSH589710</t>
  </si>
  <si>
    <t xml:space="preserve">BRK-0018</t>
  </si>
  <si>
    <t xml:space="preserve">CSH522179</t>
  </si>
  <si>
    <t xml:space="preserve">CHARGES_DIFF</t>
  </si>
  <si>
    <t xml:space="preserve">Small shortfall on a trade settlement, consistent with brokerage, stamp duty or exchange charges not booked.</t>
  </si>
  <si>
    <t xml:space="preserve">Get the contract note / charges breakdown and book the charges, or raise a claim if they look wrong.</t>
  </si>
  <si>
    <t xml:space="preserve">BRK-0019</t>
  </si>
  <si>
    <t xml:space="preserve">CSH662336</t>
  </si>
  <si>
    <t xml:space="preserve">BRK-0020</t>
  </si>
  <si>
    <t xml:space="preserve">CSH360735</t>
  </si>
  <si>
    <t xml:space="preserve">BRK-0021</t>
  </si>
  <si>
    <t xml:space="preserve">CSH544154</t>
  </si>
  <si>
    <t xml:space="preserve">FEE</t>
  </si>
  <si>
    <t xml:space="preserve">UNBOOKED_CUSTODY_FEE</t>
  </si>
  <si>
    <t xml:space="preserve">Custodian debited a fee that is not in the books.</t>
  </si>
  <si>
    <t xml:space="preserve">Validate the fee against the fee schedule, then book it or dispute it.</t>
  </si>
  <si>
    <t xml:space="preserve">BRK-0022</t>
  </si>
  <si>
    <t xml:space="preserve">CSH785197</t>
  </si>
  <si>
    <t xml:space="preserve">DIVIDEND</t>
  </si>
  <si>
    <t xml:space="preserve">MEDIUM</t>
  </si>
  <si>
    <t xml:space="preserve">INCOME_NOT_RECEIVED</t>
  </si>
  <si>
    <t xml:space="preserve">Expected income (dividend / coupon) is booked but not yet received at the custodian.</t>
  </si>
  <si>
    <t xml:space="preserve">Check the event (record date, pay date, entitlement) and chase the custodian / paying agent for the payment.</t>
  </si>
  <si>
    <t xml:space="preserve">BRK-0023</t>
  </si>
  <si>
    <t xml:space="preserve">CSH201639</t>
  </si>
  <si>
    <t xml:space="preserve">COUPON</t>
  </si>
  <si>
    <t xml:space="preserve">DOUBLE_BOOKING</t>
  </si>
  <si>
    <t xml:space="preserve">The same reference is booked more than once internally.</t>
  </si>
  <si>
    <t xml:space="preserve">Reverse the duplicate entry and check why the booking ran twice.</t>
  </si>
  <si>
    <t xml:space="preserve">BRK-0024</t>
  </si>
  <si>
    <t xml:space="preserve">CSH790993</t>
  </si>
  <si>
    <t xml:space="preserve">BRK-0025</t>
  </si>
  <si>
    <t xml:space="preserve">ACC-1004|US9Z02S10015</t>
  </si>
  <si>
    <t xml:space="preserve">QUANTITY_MISMATCH</t>
  </si>
  <si>
    <t xml:space="preserve">Share quantity in the books differs from the custodian.</t>
  </si>
  <si>
    <t xml:space="preserve">Check recent trades and pending deliveries for this ISIN; correct the side that is wrong.</t>
  </si>
  <si>
    <t xml:space="preserve">BRK-0026</t>
  </si>
  <si>
    <t xml:space="preserve">CSH806073</t>
  </si>
  <si>
    <t xml:space="preserve">BRK-0027</t>
  </si>
  <si>
    <t xml:space="preserve">CSH163556</t>
  </si>
  <si>
    <t xml:space="preserve">BRK-0028</t>
  </si>
  <si>
    <t xml:space="preserve">CSH551989</t>
  </si>
  <si>
    <t xml:space="preserve">LOW</t>
  </si>
  <si>
    <t xml:space="preserve">UNBOOKED_TRANSACTION</t>
  </si>
  <si>
    <t xml:space="preserve">Cash moved at the custodian with no matching entry in the books.</t>
  </si>
  <si>
    <t xml:space="preserve">Identify the instruction behind the movement; book it if valid, otherwise query the custodian.</t>
  </si>
  <si>
    <t xml:space="preserve">BRK-0029</t>
  </si>
  <si>
    <t xml:space="preserve">ACC-1001|INE105S01011</t>
  </si>
  <si>
    <t xml:space="preserve">INE105S01011 Vindhya Cement Ltd</t>
  </si>
  <si>
    <t xml:space="preserve">BRK-0030</t>
  </si>
  <si>
    <t xml:space="preserve">CSH863587</t>
  </si>
  <si>
    <t xml:space="preserve">WITHHOLDING_TAX</t>
  </si>
  <si>
    <t xml:space="preserve">Income received net of tax; books carry the gross amount.</t>
  </si>
  <si>
    <t xml:space="preserve">Book the withholding tax entry and check the applied tax rate against the client's tax status / treaty rate.</t>
  </si>
  <si>
    <t xml:space="preserve">BRK-0031</t>
  </si>
  <si>
    <t xml:space="preserve">CSH455784</t>
  </si>
  <si>
    <t xml:space="preserve">BRK-0032</t>
  </si>
  <si>
    <t xml:space="preserve">ACC-1001|INE106S01019</t>
  </si>
  <si>
    <t xml:space="preserve">INE106S01019 Godavari Foods Ltd</t>
  </si>
  <si>
    <t xml:space="preserve">BRK-0033</t>
  </si>
  <si>
    <t xml:space="preserve">CSH777568</t>
  </si>
  <si>
    <t xml:space="preserve">FX_CONVERSION</t>
  </si>
  <si>
    <t xml:space="preserve">FX_RATE_DIFF</t>
  </si>
  <si>
    <t xml:space="preserve">FX conversion settled at a different rate than the one booked.</t>
  </si>
  <si>
    <t xml:space="preserve">Compare the booked rate with the custodian's FX confirmation and book the rate difference.</t>
  </si>
  <si>
    <t xml:space="preserve">BRK-0034</t>
  </si>
  <si>
    <t xml:space="preserve">CSH531071</t>
  </si>
  <si>
    <t xml:space="preserve">BRK-0035</t>
  </si>
  <si>
    <t xml:space="preserve">CSH203198</t>
  </si>
  <si>
    <t xml:space="preserve">Break aging (cash + stock)</t>
  </si>
  <si>
    <t xml:space="preserve">Age bucket</t>
  </si>
  <si>
    <t xml:space="preserve">Total</t>
  </si>
  <si>
    <t xml:space="preserve">8+ days</t>
  </si>
  <si>
    <t xml:space="preserve">Stock breaks are dated the business date (age 0); cash breaks are aged from the books value date (or custodian date if missing in books).</t>
  </si>
  <si>
    <t xml:space="preserve">Status</t>
  </si>
  <si>
    <t xml:space="preserve">CSH102260</t>
  </si>
  <si>
    <t xml:space="preserve">MATCHED</t>
  </si>
  <si>
    <t xml:space="preserve">2026-10-03</t>
  </si>
  <si>
    <t xml:space="preserve">CSH103717</t>
  </si>
  <si>
    <t xml:space="preserve">2026-10-02</t>
  </si>
  <si>
    <t xml:space="preserve">CSH108203</t>
  </si>
  <si>
    <t xml:space="preserve">2026-10-04</t>
  </si>
  <si>
    <t xml:space="preserve">CSH109767</t>
  </si>
  <si>
    <t xml:space="preserve">CSH115474</t>
  </si>
  <si>
    <t xml:space="preserve">2026-10-10</t>
  </si>
  <si>
    <t xml:space="preserve">CSH141672</t>
  </si>
  <si>
    <t xml:space="preserve">CSH146228</t>
  </si>
  <si>
    <t xml:space="preserve">2026-10-11</t>
  </si>
  <si>
    <t xml:space="preserve">CSH152578</t>
  </si>
  <si>
    <t xml:space="preserve">2026-10-05</t>
  </si>
  <si>
    <t xml:space="preserve">CSH153045</t>
  </si>
  <si>
    <t xml:space="preserve">CSH153266</t>
  </si>
  <si>
    <t xml:space="preserve">2026-10-12</t>
  </si>
  <si>
    <t xml:space="preserve">CSH159642</t>
  </si>
  <si>
    <t xml:space="preserve">CSH159942</t>
  </si>
  <si>
    <t xml:space="preserve">2026-10-08</t>
  </si>
  <si>
    <t xml:space="preserve">CSH161324</t>
  </si>
  <si>
    <t xml:space="preserve">CSH161483</t>
  </si>
  <si>
    <t xml:space="preserve">CSH163918</t>
  </si>
  <si>
    <t xml:space="preserve">2026-10-13</t>
  </si>
  <si>
    <t xml:space="preserve">CSH171262</t>
  </si>
  <si>
    <t xml:space="preserve">CSH171849</t>
  </si>
  <si>
    <t xml:space="preserve">2026-10-06</t>
  </si>
  <si>
    <t xml:space="preserve">CSH172132</t>
  </si>
  <si>
    <t xml:space="preserve">2026-10-01</t>
  </si>
  <si>
    <t xml:space="preserve">CSH176066</t>
  </si>
  <si>
    <t xml:space="preserve">CSH176819</t>
  </si>
  <si>
    <t xml:space="preserve">CSH179046</t>
  </si>
  <si>
    <t xml:space="preserve">CSH184002</t>
  </si>
  <si>
    <t xml:space="preserve">CSH185965</t>
  </si>
  <si>
    <t xml:space="preserve">CSH196781</t>
  </si>
  <si>
    <t xml:space="preserve">CSH197793</t>
  </si>
  <si>
    <t xml:space="preserve">CSH202664</t>
  </si>
  <si>
    <t xml:space="preserve">CSH204837</t>
  </si>
  <si>
    <t xml:space="preserve">CSH208618</t>
  </si>
  <si>
    <t xml:space="preserve">CSH212235</t>
  </si>
  <si>
    <t xml:space="preserve">2026-10-07</t>
  </si>
  <si>
    <t xml:space="preserve">CSH221035</t>
  </si>
  <si>
    <t xml:space="preserve">CSH225710</t>
  </si>
  <si>
    <t xml:space="preserve">CSH237174</t>
  </si>
  <si>
    <t xml:space="preserve">CSH237235</t>
  </si>
  <si>
    <t xml:space="preserve">2026-10-14</t>
  </si>
  <si>
    <t xml:space="preserve">CSH238890</t>
  </si>
  <si>
    <t xml:space="preserve">CSH240814</t>
  </si>
  <si>
    <t xml:space="preserve">CSH262316</t>
  </si>
  <si>
    <t xml:space="preserve">CSH262998</t>
  </si>
  <si>
    <t xml:space="preserve">2026-10-09</t>
  </si>
  <si>
    <t xml:space="preserve">CSH265080</t>
  </si>
  <si>
    <t xml:space="preserve">CSH265409</t>
  </si>
  <si>
    <t xml:space="preserve">CSH269430</t>
  </si>
  <si>
    <t xml:space="preserve">CSH272634</t>
  </si>
  <si>
    <t xml:space="preserve">CSH274389</t>
  </si>
  <si>
    <t xml:space="preserve">CSH292401</t>
  </si>
  <si>
    <t xml:space="preserve">MATCHED_WITHIN_TOLERANCE</t>
  </si>
  <si>
    <t xml:space="preserve">CSH294851</t>
  </si>
  <si>
    <t xml:space="preserve">CSH299122</t>
  </si>
  <si>
    <t xml:space="preserve">CSH313487</t>
  </si>
  <si>
    <t xml:space="preserve">CSH314181</t>
  </si>
  <si>
    <t xml:space="preserve">CSH320861</t>
  </si>
  <si>
    <t xml:space="preserve">CSH323508</t>
  </si>
  <si>
    <t xml:space="preserve">CSH324130</t>
  </si>
  <si>
    <t xml:space="preserve">CSH328275</t>
  </si>
  <si>
    <t xml:space="preserve">CSH346629</t>
  </si>
  <si>
    <t xml:space="preserve">CSH347861</t>
  </si>
  <si>
    <t xml:space="preserve">CSH350280</t>
  </si>
  <si>
    <t xml:space="preserve">CSH356150</t>
  </si>
  <si>
    <t xml:space="preserve">CSH358175</t>
  </si>
  <si>
    <t xml:space="preserve">CSH361941</t>
  </si>
  <si>
    <t xml:space="preserve">CSH363319</t>
  </si>
  <si>
    <t xml:space="preserve">CSH373432</t>
  </si>
  <si>
    <t xml:space="preserve">CSH374680</t>
  </si>
  <si>
    <t xml:space="preserve">CSH376807</t>
  </si>
  <si>
    <t xml:space="preserve">CSH377312</t>
  </si>
  <si>
    <t xml:space="preserve">CSH378082</t>
  </si>
  <si>
    <t xml:space="preserve">CSH378085</t>
  </si>
  <si>
    <t xml:space="preserve">CSH378517</t>
  </si>
  <si>
    <t xml:space="preserve">CSH385577</t>
  </si>
  <si>
    <t xml:space="preserve">CSH390120</t>
  </si>
  <si>
    <t xml:space="preserve">CSH392075</t>
  </si>
  <si>
    <t xml:space="preserve">CSH395442</t>
  </si>
  <si>
    <t xml:space="preserve">CSH398830</t>
  </si>
  <si>
    <t xml:space="preserve">CSH399105</t>
  </si>
  <si>
    <t xml:space="preserve">CSH411120</t>
  </si>
  <si>
    <t xml:space="preserve">CSH413921</t>
  </si>
  <si>
    <t xml:space="preserve">CSH414569</t>
  </si>
  <si>
    <t xml:space="preserve">CSH417212</t>
  </si>
  <si>
    <t xml:space="preserve">CSH428838</t>
  </si>
  <si>
    <t xml:space="preserve">CSH429445</t>
  </si>
  <si>
    <t xml:space="preserve">CSH431535</t>
  </si>
  <si>
    <t xml:space="preserve">CSH431737</t>
  </si>
  <si>
    <t xml:space="preserve">CSH449759</t>
  </si>
  <si>
    <t xml:space="preserve">CSH459536</t>
  </si>
  <si>
    <t xml:space="preserve">CSH465962</t>
  </si>
  <si>
    <t xml:space="preserve">CSH487477</t>
  </si>
  <si>
    <t xml:space="preserve">CSH497382</t>
  </si>
  <si>
    <t xml:space="preserve">CSH509386</t>
  </si>
  <si>
    <t xml:space="preserve">CSH515011</t>
  </si>
  <si>
    <t xml:space="preserve">CSH520521</t>
  </si>
  <si>
    <t xml:space="preserve">CSH523389</t>
  </si>
  <si>
    <t xml:space="preserve">CSH526156</t>
  </si>
  <si>
    <t xml:space="preserve">CSH539589</t>
  </si>
  <si>
    <t xml:space="preserve">CSH542374</t>
  </si>
  <si>
    <t xml:space="preserve">CSH543555</t>
  </si>
  <si>
    <t xml:space="preserve">CSH544151</t>
  </si>
  <si>
    <t xml:space="preserve">CSH559469</t>
  </si>
  <si>
    <t xml:space="preserve">CSH564656</t>
  </si>
  <si>
    <t xml:space="preserve">CSH577110</t>
  </si>
  <si>
    <t xml:space="preserve">CSH579434</t>
  </si>
  <si>
    <t xml:space="preserve">CSH580547</t>
  </si>
  <si>
    <t xml:space="preserve">2026-10-15</t>
  </si>
  <si>
    <t xml:space="preserve">CSH585100</t>
  </si>
  <si>
    <t xml:space="preserve">CSH599948</t>
  </si>
  <si>
    <t xml:space="preserve">CSH604740</t>
  </si>
  <si>
    <t xml:space="preserve">CSH609231</t>
  </si>
  <si>
    <t xml:space="preserve">CSH610311</t>
  </si>
  <si>
    <t xml:space="preserve">CSH612262</t>
  </si>
  <si>
    <t xml:space="preserve">CSH627276</t>
  </si>
  <si>
    <t xml:space="preserve">CSH629959</t>
  </si>
  <si>
    <t xml:space="preserve">CSH630458</t>
  </si>
  <si>
    <t xml:space="preserve">CSH632496</t>
  </si>
  <si>
    <t xml:space="preserve">CSH648177</t>
  </si>
  <si>
    <t xml:space="preserve">CSH654634</t>
  </si>
  <si>
    <t xml:space="preserve">CSH656926</t>
  </si>
  <si>
    <t xml:space="preserve">CSH663750</t>
  </si>
  <si>
    <t xml:space="preserve">CSH666847</t>
  </si>
  <si>
    <t xml:space="preserve">CSH668532</t>
  </si>
  <si>
    <t xml:space="preserve">CSH669605</t>
  </si>
  <si>
    <t xml:space="preserve">CSH677057</t>
  </si>
  <si>
    <t xml:space="preserve">CSH680097</t>
  </si>
  <si>
    <t xml:space="preserve">CSH681542</t>
  </si>
  <si>
    <t xml:space="preserve">CSH682765</t>
  </si>
  <si>
    <t xml:space="preserve">CSH690341</t>
  </si>
  <si>
    <t xml:space="preserve">CSH692683</t>
  </si>
  <si>
    <t xml:space="preserve">CSH697347</t>
  </si>
  <si>
    <t xml:space="preserve">CSH707040</t>
  </si>
  <si>
    <t xml:space="preserve">CSH707314</t>
  </si>
  <si>
    <t xml:space="preserve">CSH712024</t>
  </si>
  <si>
    <t xml:space="preserve">CSH712554</t>
  </si>
  <si>
    <t xml:space="preserve">CSH723398</t>
  </si>
  <si>
    <t xml:space="preserve">CSH723939</t>
  </si>
  <si>
    <t xml:space="preserve">CSH734210</t>
  </si>
  <si>
    <t xml:space="preserve">CSH741390</t>
  </si>
  <si>
    <t xml:space="preserve">CSH749468</t>
  </si>
  <si>
    <t xml:space="preserve">CSH751332</t>
  </si>
  <si>
    <t xml:space="preserve">CSH765046</t>
  </si>
  <si>
    <t xml:space="preserve">CSH765095</t>
  </si>
  <si>
    <t xml:space="preserve">CSH768061</t>
  </si>
  <si>
    <t xml:space="preserve">CSH776856</t>
  </si>
  <si>
    <t xml:space="preserve">CSH783823</t>
  </si>
  <si>
    <t xml:space="preserve">CSH785743</t>
  </si>
  <si>
    <t xml:space="preserve">CSH789305</t>
  </si>
  <si>
    <t xml:space="preserve">CSH794022</t>
  </si>
  <si>
    <t xml:space="preserve">CSH795613</t>
  </si>
  <si>
    <t xml:space="preserve">CSH800305</t>
  </si>
  <si>
    <t xml:space="preserve">CSH802258</t>
  </si>
  <si>
    <t xml:space="preserve">CSH804318</t>
  </si>
  <si>
    <t xml:space="preserve">CSH808011</t>
  </si>
  <si>
    <t xml:space="preserve">CSH820892</t>
  </si>
  <si>
    <t xml:space="preserve">CSH830429</t>
  </si>
  <si>
    <t xml:space="preserve">CSH837715</t>
  </si>
  <si>
    <t xml:space="preserve">CSH850981</t>
  </si>
  <si>
    <t xml:space="preserve">CSH852470</t>
  </si>
  <si>
    <t xml:space="preserve">CSH853305</t>
  </si>
  <si>
    <t xml:space="preserve">CSH865990</t>
  </si>
  <si>
    <t xml:space="preserve">CSH871476</t>
  </si>
  <si>
    <t xml:space="preserve">CSH878480</t>
  </si>
  <si>
    <t xml:space="preserve">CSH884309</t>
  </si>
  <si>
    <t xml:space="preserve">CSH888387</t>
  </si>
  <si>
    <t xml:space="preserve">CSH890170</t>
  </si>
  <si>
    <t xml:space="preserve">CSH908577</t>
  </si>
  <si>
    <t xml:space="preserve">CSH921414</t>
  </si>
  <si>
    <t xml:space="preserve">CSH922157</t>
  </si>
  <si>
    <t xml:space="preserve">CSH923267</t>
  </si>
  <si>
    <t xml:space="preserve">CSH946305</t>
  </si>
  <si>
    <t xml:space="preserve">CSH947272</t>
  </si>
  <si>
    <t xml:space="preserve">CSH956795</t>
  </si>
  <si>
    <t xml:space="preserve">CSH969634</t>
  </si>
  <si>
    <t xml:space="preserve">CSH974244</t>
  </si>
  <si>
    <t xml:space="preserve">CSH976638</t>
  </si>
  <si>
    <t xml:space="preserve">CSH987204</t>
  </si>
  <si>
    <t xml:space="preserve">CSH989921</t>
  </si>
  <si>
    <t xml:space="preserve">CSH992697</t>
  </si>
  <si>
    <t xml:space="preserve">CSH994141</t>
  </si>
  <si>
    <t xml:space="preserve">CSH994343</t>
  </si>
  <si>
    <t xml:space="preserve">CSH997546</t>
  </si>
  <si>
    <t xml:space="preserve">ACC-1001|INE102S01017</t>
  </si>
  <si>
    <t xml:space="preserve">INE102S01017 Deccan Steel Ltd</t>
  </si>
  <si>
    <t xml:space="preserve">ACC-1001|INE103S01015</t>
  </si>
  <si>
    <t xml:space="preserve">INE103S01015 Konkan Ports Ltd</t>
  </si>
  <si>
    <t xml:space="preserve">ACC-1001|INE107S01017</t>
  </si>
  <si>
    <t xml:space="preserve">ACC-1001|INE108S01015</t>
  </si>
  <si>
    <t xml:space="preserve">ACC-1001|US9Z02S10015</t>
  </si>
  <si>
    <t xml:space="preserve">ACC-1001|US9Z03S10013</t>
  </si>
  <si>
    <t xml:space="preserve">US9Z03S10013 Pioneer Energy Inc</t>
  </si>
  <si>
    <t xml:space="preserve">ACC-1002|INE101S01019</t>
  </si>
  <si>
    <t xml:space="preserve">ACC-1002|INE102S01017</t>
  </si>
  <si>
    <t xml:space="preserve">ACC-1002|INE103S01015</t>
  </si>
  <si>
    <t xml:space="preserve">ACC-1002|INE104S01013</t>
  </si>
  <si>
    <t xml:space="preserve">INE104S01013 Narmada Pharma Ltd</t>
  </si>
  <si>
    <t xml:space="preserve">ACC-1002|INE106S01019</t>
  </si>
  <si>
    <t xml:space="preserve">ACC-1002|INE107S01017</t>
  </si>
  <si>
    <t xml:space="preserve">ACC-1002|US9Z02S10015</t>
  </si>
  <si>
    <t xml:space="preserve">ACC-1002|US9Z03S10013</t>
  </si>
  <si>
    <t xml:space="preserve">ACC-1003|INE103S01015</t>
  </si>
  <si>
    <t xml:space="preserve">ACC-1003|INE104S01013</t>
  </si>
  <si>
    <t xml:space="preserve">ACC-1003|INE105S01011</t>
  </si>
  <si>
    <t xml:space="preserve">ACC-1003|INE106S01019</t>
  </si>
  <si>
    <t xml:space="preserve">ACC-1003|US9Z01S10017</t>
  </si>
  <si>
    <t xml:space="preserve">ACC-1003|US9Z02S10015</t>
  </si>
  <si>
    <t xml:space="preserve">ACC-1003|US9Z03S10013</t>
  </si>
  <si>
    <t xml:space="preserve">ACC-1004|INE101S01019</t>
  </si>
  <si>
    <t xml:space="preserve">ACC-1004|INE103S01015</t>
  </si>
  <si>
    <t xml:space="preserve">ACC-1004|INE104S01013</t>
  </si>
  <si>
    <t xml:space="preserve">ACC-1004|INE106S01019</t>
  </si>
  <si>
    <t xml:space="preserve">ACC-1004|INE107S01017</t>
  </si>
  <si>
    <t xml:space="preserve">ACC-1004|INE108S01015</t>
  </si>
  <si>
    <t xml:space="preserve">ACC-1004|US9Z01S10017</t>
  </si>
  <si>
    <t xml:space="preserve">ACC-1004|US9Z03S10013</t>
  </si>
  <si>
    <t xml:space="preserve">ACC-1005|INE101S01019</t>
  </si>
  <si>
    <t xml:space="preserve">ACC-1005|INE103S01015</t>
  </si>
  <si>
    <t xml:space="preserve">ACC-1005|INE104S01013</t>
  </si>
  <si>
    <t xml:space="preserve">ACC-1005|INE105S01011</t>
  </si>
  <si>
    <t xml:space="preserve">ACC-1005|INE107S01017</t>
  </si>
  <si>
    <t xml:space="preserve">ACC-1005|INE108S01015</t>
  </si>
  <si>
    <t xml:space="preserve">ACC-1005|US9Z03S10013</t>
  </si>
  <si>
    <t xml:space="preserve">Control rules used in this run (from config.py)</t>
  </si>
  <si>
    <t xml:space="preserve">Rule</t>
  </si>
  <si>
    <t xml:space="preserve">Value</t>
  </si>
  <si>
    <t xml:space="preserve">Why</t>
  </si>
  <si>
    <t xml:space="preserve">Cash amount tolerance (absolute)</t>
  </si>
  <si>
    <t xml:space="preserve">Absorbs paise/cent rounding only.</t>
  </si>
  <si>
    <t xml:space="preserve">Stock quantity tolerance</t>
  </si>
  <si>
    <t xml:space="preserve">Positions reconcile to the exact share.</t>
  </si>
  <si>
    <t xml:space="preserve">USD to INR (reporting only)</t>
  </si>
  <si>
    <t xml:space="preserve">Illustrative fixed rate, not market data.</t>
  </si>
  <si>
    <t xml:space="preserve">HIGH priority value (INR eq.)</t>
  </si>
  <si>
    <t xml:space="preserve">Break value at or above this is HIGH.</t>
  </si>
  <si>
    <t xml:space="preserve">MEDIUM priority value (INR eq.)</t>
  </si>
  <si>
    <t xml:space="preserve">Break value at or above this is at least MEDIUM.</t>
  </si>
  <si>
    <t xml:space="preserve">HIGH priority age (days)</t>
  </si>
  <si>
    <t xml:space="preserve">Open this many days or more is HIGH.</t>
  </si>
  <si>
    <t xml:space="preserve">MEDIUM priority age (days)</t>
  </si>
  <si>
    <t xml:space="preserve">Open this many days or more is at least MEDIUM.</t>
  </si>
  <si>
    <t xml:space="preserve">Corporate action ratios checked</t>
  </si>
  <si>
    <t xml:space="preserve">1.1, 1.2, 1.25, 1.5, 2.0, 3.0, 4.0, 5.0, 10.0</t>
  </si>
  <si>
    <t xml:space="preserve">Custodian qty / books qty equal to one of these suggests an unbooked split or bonus.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</si>
</sst>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f aca="false">COUNTA('Cash Recon'!$H$2:$H$200)</f>
        <v>199</v>
      </c>
      <c r="C7" s="6" t="n">
        <f aca="false">COUNTA('Stock Recon'!$H$2:$H$46)</f>
        <v>45</v>
      </c>
    </row>
    <row r="8" customFormat="false" ht="15" hidden="false" customHeight="false" outlineLevel="0" collapsed="false">
      <c r="A8" s="5" t="s">
        <v>8</v>
      </c>
      <c r="B8" s="6" t="n">
        <f aca="false">COUNTIF('Cash Recon'!$H$2:$H$200,"MATCHED")+COUNTIF('Cash Recon'!$H$2:$H$200,"MATCHED_WITHIN_TOLERANCE")</f>
        <v>173</v>
      </c>
      <c r="C8" s="6" t="n">
        <f aca="false">COUNTIF('Stock Recon'!$H$2:$H$46,"MATCHED")</f>
        <v>36</v>
      </c>
    </row>
    <row r="9" customFormat="false" ht="15" hidden="false" customHeight="false" outlineLevel="0" collapsed="false">
      <c r="A9" s="5" t="s">
        <v>9</v>
      </c>
      <c r="B9" s="6" t="n">
        <f aca="false">B7-B8</f>
        <v>26</v>
      </c>
      <c r="C9" s="6" t="n">
        <f aca="false">C7-C8</f>
        <v>9</v>
      </c>
    </row>
    <row r="10" customFormat="false" ht="15" hidden="false" customHeight="false" outlineLevel="0" collapsed="false">
      <c r="A10" s="7" t="s">
        <v>10</v>
      </c>
      <c r="B10" s="8" t="n">
        <f aca="false">IF(B7=0,0,B8/B7)</f>
        <v>0.869346733668342</v>
      </c>
      <c r="C10" s="8" t="n">
        <f aca="false">IF(C7=0,0,C8/C7)</f>
        <v>0.8</v>
      </c>
    </row>
    <row r="11" customFormat="false" ht="15" hidden="false" customHeight="false" outlineLevel="0" collapsed="false">
      <c r="A11" s="5" t="s">
        <v>11</v>
      </c>
      <c r="B11" s="9" t="n">
        <f aca="false">SUMPRODUCT((Breaks!$B$2:$B$36="CASH")*ABS(Breaks!$K$2:$K$36))</f>
        <v>623495542.91</v>
      </c>
      <c r="C11" s="9" t="n">
        <f aca="false">SUMPRODUCT((Breaks!$B$2:$B$36="STOCK")*ABS(Breaks!$K$2:$K$36))</f>
        <v>604228182.8</v>
      </c>
    </row>
    <row r="12" customFormat="false" ht="15" hidden="false" customHeight="false" outlineLevel="0" collapsed="false">
      <c r="A12" s="5" t="s">
        <v>12</v>
      </c>
      <c r="B12" s="6" t="n">
        <f aca="false">COUNTIFS(Breaks!$B$2:$B$36,"CASH",Breaks!$P$2:$P$36,"HIGH")</f>
        <v>15</v>
      </c>
      <c r="C12" s="6" t="n">
        <f aca="false">COUNTIFS(Breaks!$B$2:$B$36,"STOCK",Breaks!$P$2:$P$36,"HIGH")</f>
        <v>6</v>
      </c>
    </row>
    <row r="14" customFormat="false" ht="15" hidden="false" customHeight="false" outlineLevel="0" collapsed="false">
      <c r="A14" s="3" t="s">
        <v>13</v>
      </c>
      <c r="B14" s="4" t="s">
        <v>14</v>
      </c>
      <c r="C14" s="4" t="s">
        <v>15</v>
      </c>
    </row>
    <row r="15" customFormat="false" ht="15" hidden="false" customHeight="false" outlineLevel="0" collapsed="false">
      <c r="A15" s="5" t="s">
        <v>16</v>
      </c>
      <c r="B15" s="6" t="n">
        <f aca="false">COUNTIFS(Breaks!$B$2:$B$36,"CASH",Breaks!$G$2:$G$36,"AMOUNT_DIFF")</f>
        <v>6</v>
      </c>
      <c r="C15" s="9" t="n">
        <f aca="false">SUMPRODUCT((Breaks!$B$2:$B$36="CASH")*(Breaks!$G$2:$G$36="AMOUNT_DIFF")*ABS(Breaks!$K$2:$K$36))</f>
        <v>1292702.37</v>
      </c>
    </row>
    <row r="16" customFormat="false" ht="15" hidden="false" customHeight="false" outlineLevel="0" collapsed="false">
      <c r="A16" s="5" t="s">
        <v>17</v>
      </c>
      <c r="B16" s="6" t="n">
        <f aca="false">COUNTIFS(Breaks!$B$2:$B$36,"CASH",Breaks!$G$2:$G$36,"TIMING_DIFF")</f>
        <v>8</v>
      </c>
      <c r="C16" s="9" t="n">
        <f aca="false">SUMPRODUCT((Breaks!$B$2:$B$36="CASH")*(Breaks!$G$2:$G$36="TIMING_DIFF")*ABS(Breaks!$K$2:$K$36))</f>
        <v>488787653.02</v>
      </c>
    </row>
    <row r="17" customFormat="false" ht="15" hidden="false" customHeight="false" outlineLevel="0" collapsed="false">
      <c r="A17" s="5" t="s">
        <v>18</v>
      </c>
      <c r="B17" s="6" t="n">
        <f aca="false">COUNTIFS(Breaks!$B$2:$B$36,"CASH",Breaks!$G$2:$G$36,"MISSING_AT_CUSTODIAN")</f>
        <v>5</v>
      </c>
      <c r="C17" s="9" t="n">
        <f aca="false">SUMPRODUCT((Breaks!$B$2:$B$36="CASH")*(Breaks!$G$2:$G$36="MISSING_AT_CUSTODIAN")*ABS(Breaks!$K$2:$K$36))</f>
        <v>123880683.19</v>
      </c>
    </row>
    <row r="18" customFormat="false" ht="15" hidden="false" customHeight="false" outlineLevel="0" collapsed="false">
      <c r="A18" s="5" t="s">
        <v>19</v>
      </c>
      <c r="B18" s="6" t="n">
        <f aca="false">COUNTIFS(Breaks!$B$2:$B$36,"CASH",Breaks!$G$2:$G$36,"MISSING_IN_BOOKS")</f>
        <v>4</v>
      </c>
      <c r="C18" s="9" t="n">
        <f aca="false">SUMPRODUCT((Breaks!$B$2:$B$36="CASH")*(Breaks!$G$2:$G$36="MISSING_IN_BOOKS")*ABS(Breaks!$K$2:$K$36))</f>
        <v>5920548.17</v>
      </c>
    </row>
    <row r="19" customFormat="false" ht="15" hidden="false" customHeight="false" outlineLevel="0" collapsed="false">
      <c r="A19" s="5" t="s">
        <v>20</v>
      </c>
      <c r="B19" s="6" t="n">
        <f aca="false">COUNTIFS(Breaks!$B$2:$B$36,"CASH",Breaks!$G$2:$G$36,"DUPLICATE_IN_BOOKS")</f>
        <v>2</v>
      </c>
      <c r="C19" s="9" t="n">
        <f aca="false">SUMPRODUCT((Breaks!$B$2:$B$36="CASH")*(Breaks!$G$2:$G$36="DUPLICATE_IN_BOOKS")*ABS(Breaks!$K$2:$K$36))</f>
        <v>725627.74</v>
      </c>
    </row>
    <row r="20" customFormat="false" ht="15" hidden="false" customHeight="false" outlineLevel="0" collapsed="false">
      <c r="A20" s="5" t="s">
        <v>21</v>
      </c>
      <c r="B20" s="6" t="n">
        <f aca="false">COUNTIFS(Breaks!$B$2:$B$36,"CASH",Breaks!$G$2:$G$36,"DUPLICATE_AT_CUSTODIAN")</f>
        <v>1</v>
      </c>
      <c r="C20" s="9" t="n">
        <f aca="false">SUMPRODUCT((Breaks!$B$2:$B$36="CASH")*(Breaks!$G$2:$G$36="DUPLICATE_AT_CUSTODIAN")*ABS(Breaks!$K$2:$K$36))</f>
        <v>2888328.42</v>
      </c>
    </row>
    <row r="22" customFormat="false" ht="15" hidden="false" customHeight="false" outlineLevel="0" collapsed="false">
      <c r="A22" s="3" t="s">
        <v>22</v>
      </c>
      <c r="B22" s="4" t="s">
        <v>14</v>
      </c>
      <c r="C22" s="4" t="s">
        <v>15</v>
      </c>
    </row>
    <row r="23" customFormat="false" ht="15" hidden="false" customHeight="false" outlineLevel="0" collapsed="false">
      <c r="A23" s="5" t="s">
        <v>23</v>
      </c>
      <c r="B23" s="6" t="n">
        <f aca="false">COUNTIFS(Breaks!$B$2:$B$36,"STOCK",Breaks!$G$2:$G$36,"QTY_BREAK")</f>
        <v>5</v>
      </c>
      <c r="C23" s="9" t="n">
        <f aca="false">SUMPRODUCT((Breaks!$B$2:$B$36="STOCK")*(Breaks!$G$2:$G$36="QTY_BREAK")*ABS(Breaks!$K$2:$K$36))</f>
        <v>158769072.8</v>
      </c>
    </row>
    <row r="24" customFormat="false" ht="15" hidden="false" customHeight="false" outlineLevel="0" collapsed="false">
      <c r="A24" s="5" t="s">
        <v>18</v>
      </c>
      <c r="B24" s="6" t="n">
        <f aca="false">COUNTIFS(Breaks!$B$2:$B$36,"STOCK",Breaks!$G$2:$G$36,"MISSING_AT_CUSTODIAN")</f>
        <v>2</v>
      </c>
      <c r="C24" s="9" t="n">
        <f aca="false">SUMPRODUCT((Breaks!$B$2:$B$36="STOCK")*(Breaks!$G$2:$G$36="MISSING_AT_CUSTODIAN")*ABS(Breaks!$K$2:$K$36))</f>
        <v>271955265</v>
      </c>
    </row>
    <row r="25" customFormat="false" ht="15" hidden="false" customHeight="false" outlineLevel="0" collapsed="false">
      <c r="A25" s="5" t="s">
        <v>19</v>
      </c>
      <c r="B25" s="6" t="n">
        <f aca="false">COUNTIFS(Breaks!$B$2:$B$36,"STOCK",Breaks!$G$2:$G$36,"MISSING_IN_BOOKS")</f>
        <v>2</v>
      </c>
      <c r="C25" s="9" t="n">
        <f aca="false">SUMPRODUCT((Breaks!$B$2:$B$36="STOCK")*(Breaks!$G$2:$G$36="MISSING_IN_BOOKS")*ABS(Breaks!$K$2:$K$36))</f>
        <v>173503845</v>
      </c>
    </row>
    <row r="27" customFormat="false" ht="15" hidden="false" customHeight="false" outlineLevel="0" collapsed="false">
      <c r="A27" s="3" t="s">
        <v>24</v>
      </c>
      <c r="B27" s="4" t="s">
        <v>25</v>
      </c>
    </row>
    <row r="28" customFormat="false" ht="15" hidden="false" customHeight="false" outlineLevel="0" collapsed="false">
      <c r="A28" s="5" t="s">
        <v>26</v>
      </c>
      <c r="B28" s="10" t="str">
        <f aca="false">IF(B7&gt;0,"YES","NO")</f>
        <v>YES</v>
      </c>
    </row>
    <row r="29" customFormat="false" ht="15" hidden="false" customHeight="false" outlineLevel="0" collapsed="false">
      <c r="A29" s="5" t="s">
        <v>27</v>
      </c>
      <c r="B29" s="10" t="str">
        <f aca="false">IF(C7&gt;0,"YES","NO")</f>
        <v>YES</v>
      </c>
    </row>
    <row r="30" customFormat="false" ht="15" hidden="false" customHeight="false" outlineLevel="0" collapsed="false">
      <c r="A30" s="5" t="s">
        <v>28</v>
      </c>
      <c r="B30" s="10" t="str">
        <f aca="false">IF(COUNTIFS(Breaks!$P$2:$P$36,"HIGH",Breaks!$T$2:$T$36,"")=0,"YES","NO")</f>
        <v>NO</v>
      </c>
    </row>
    <row r="31" customFormat="false" ht="15" hidden="false" customHeight="false" outlineLevel="0" collapsed="false">
      <c r="A31" s="5" t="s">
        <v>29</v>
      </c>
      <c r="B31" s="10" t="str">
        <f aca="false">IF(COUNTIF(Breaks!$O$2:$O$36,"8+ days")=0,"YES","NO")</f>
        <v>YES</v>
      </c>
    </row>
    <row r="32" customFormat="false" ht="15" hidden="false" customHeight="false" outlineLevel="0" collapsed="false">
      <c r="A32" s="5" t="s">
        <v>30</v>
      </c>
      <c r="B32" s="10" t="n">
        <f aca="false">COUNTIF(Breaks!$U$2:$U$36,"OPEN")</f>
        <v>35</v>
      </c>
    </row>
    <row r="33" customFormat="false" ht="15" hidden="false" customHeight="false" outlineLevel="0" collapsed="false">
      <c r="A33" s="5" t="s">
        <v>31</v>
      </c>
      <c r="B33" s="10" t="n">
        <f aca="false">COUNTIF(Breaks!$U$2:$U$36,"ESCALATED")</f>
        <v>0</v>
      </c>
    </row>
    <row r="34" customFormat="false" ht="15" hidden="false" customHeight="false" outlineLevel="0" collapsed="false">
      <c r="A34" s="5" t="s">
        <v>32</v>
      </c>
      <c r="B34" s="10" t="n">
        <f aca="false">COUNTIF(Breaks!$U$2:$U$36,"RESOLVED")</f>
        <v>0</v>
      </c>
    </row>
    <row r="36" customFormat="false" ht="15" hidden="false" customHeight="false" outlineLevel="0" collapsed="false">
      <c r="A36" s="7" t="s">
        <v>33</v>
      </c>
      <c r="B36" s="11"/>
    </row>
    <row r="37" customFormat="false" ht="15" hidden="false" customHeight="false" outlineLevel="0" collapsed="false">
      <c r="A37" s="7" t="s">
        <v>34</v>
      </c>
      <c r="B37" s="11"/>
    </row>
    <row r="38" customFormat="false" ht="15" hidden="false" customHeight="false" outlineLevel="0" collapsed="false">
      <c r="A38" s="7" t="s">
        <v>35</v>
      </c>
      <c r="B38" s="11"/>
    </row>
    <row r="40" customFormat="false" ht="15" hidden="false" customHeight="false" outlineLevel="0" collapsed="false">
      <c r="A40" s="2" t="s">
        <v>36</v>
      </c>
    </row>
  </sheetData>
  <conditionalFormatting sqref="B28:B3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24"/>
    <col collapsed="false" customWidth="true" hidden="false" outlineLevel="0" max="10" min="8" style="0" width="15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28"/>
    <col collapsed="false" customWidth="true" hidden="false" outlineLevel="0" max="18" min="18" style="0" width="55"/>
    <col collapsed="false" customWidth="true" hidden="false" outlineLevel="0" max="19" min="19" style="0" width="60"/>
    <col collapsed="false" customWidth="true" hidden="false" outlineLevel="0" max="20" min="20" style="0" width="14"/>
    <col collapsed="false" customWidth="true" hidden="false" outlineLevel="0" max="21" min="21" style="0" width="17"/>
    <col collapsed="false" customWidth="true" hidden="false" outlineLevel="0" max="22" min="22" style="0" width="30"/>
  </cols>
  <sheetData>
    <row r="1" customFormat="false" ht="30" hidden="false" customHeight="true" outlineLevel="0" collapsed="false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2" t="s">
        <v>50</v>
      </c>
      <c r="O1" s="12" t="s">
        <v>51</v>
      </c>
      <c r="P1" s="12" t="s">
        <v>52</v>
      </c>
      <c r="Q1" s="12" t="s">
        <v>53</v>
      </c>
      <c r="R1" s="12" t="s">
        <v>54</v>
      </c>
      <c r="S1" s="12" t="s">
        <v>55</v>
      </c>
      <c r="T1" s="12" t="s">
        <v>56</v>
      </c>
      <c r="U1" s="12" t="s">
        <v>57</v>
      </c>
      <c r="V1" s="12" t="s">
        <v>58</v>
      </c>
    </row>
    <row r="2" customFormat="false" ht="26.85" hidden="false" customHeight="false" outlineLevel="0" collapsed="false">
      <c r="A2" s="10" t="s">
        <v>59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17</v>
      </c>
      <c r="H2" s="9" t="n">
        <v>4068257.96</v>
      </c>
      <c r="I2" s="9" t="n">
        <v>4068257.96</v>
      </c>
      <c r="J2" s="9" t="n">
        <v>4068257.96</v>
      </c>
      <c r="K2" s="9" t="n">
        <v>341733668.64</v>
      </c>
      <c r="L2" s="10" t="s">
        <v>65</v>
      </c>
      <c r="M2" s="10" t="s">
        <v>66</v>
      </c>
      <c r="N2" s="10" t="n">
        <v>7</v>
      </c>
      <c r="O2" s="10" t="s">
        <v>67</v>
      </c>
      <c r="P2" s="10" t="s">
        <v>68</v>
      </c>
      <c r="Q2" s="10" t="s">
        <v>69</v>
      </c>
      <c r="R2" s="13" t="s">
        <v>70</v>
      </c>
      <c r="S2" s="13" t="s">
        <v>71</v>
      </c>
      <c r="T2" s="14"/>
      <c r="U2" s="14" t="s">
        <v>72</v>
      </c>
      <c r="V2" s="14"/>
    </row>
    <row r="3" customFormat="false" ht="26.85" hidden="false" customHeight="false" outlineLevel="0" collapsed="false">
      <c r="A3" s="10" t="s">
        <v>73</v>
      </c>
      <c r="B3" s="10" t="s">
        <v>74</v>
      </c>
      <c r="C3" s="10" t="s">
        <v>61</v>
      </c>
      <c r="D3" s="10" t="s">
        <v>75</v>
      </c>
      <c r="E3" s="10" t="s">
        <v>76</v>
      </c>
      <c r="F3" s="10" t="s">
        <v>64</v>
      </c>
      <c r="G3" s="10" t="s">
        <v>18</v>
      </c>
      <c r="H3" s="6" t="n">
        <v>16650</v>
      </c>
      <c r="I3" s="10"/>
      <c r="J3" s="6" t="n">
        <v>-16650</v>
      </c>
      <c r="K3" s="9" t="n">
        <v>-255104640</v>
      </c>
      <c r="L3" s="10" t="s">
        <v>77</v>
      </c>
      <c r="M3" s="10" t="s">
        <v>77</v>
      </c>
      <c r="N3" s="10" t="n">
        <v>0</v>
      </c>
      <c r="O3" s="10" t="s">
        <v>78</v>
      </c>
      <c r="P3" s="10" t="s">
        <v>68</v>
      </c>
      <c r="Q3" s="10" t="s">
        <v>79</v>
      </c>
      <c r="R3" s="13" t="s">
        <v>80</v>
      </c>
      <c r="S3" s="13" t="s">
        <v>81</v>
      </c>
      <c r="T3" s="14"/>
      <c r="U3" s="14" t="s">
        <v>72</v>
      </c>
      <c r="V3" s="14"/>
    </row>
    <row r="4" customFormat="false" ht="26.85" hidden="false" customHeight="false" outlineLevel="0" collapsed="false">
      <c r="A4" s="10" t="s">
        <v>82</v>
      </c>
      <c r="B4" s="10" t="s">
        <v>74</v>
      </c>
      <c r="C4" s="10" t="s">
        <v>83</v>
      </c>
      <c r="D4" s="10" t="s">
        <v>84</v>
      </c>
      <c r="E4" s="10" t="s">
        <v>76</v>
      </c>
      <c r="F4" s="10" t="s">
        <v>64</v>
      </c>
      <c r="G4" s="10" t="s">
        <v>19</v>
      </c>
      <c r="H4" s="10"/>
      <c r="I4" s="6" t="n">
        <v>11200</v>
      </c>
      <c r="J4" s="6" t="n">
        <v>11200</v>
      </c>
      <c r="K4" s="9" t="n">
        <v>171601920</v>
      </c>
      <c r="L4" s="10" t="s">
        <v>77</v>
      </c>
      <c r="M4" s="10" t="s">
        <v>77</v>
      </c>
      <c r="N4" s="10" t="n">
        <v>0</v>
      </c>
      <c r="O4" s="10" t="s">
        <v>78</v>
      </c>
      <c r="P4" s="10" t="s">
        <v>68</v>
      </c>
      <c r="Q4" s="10" t="s">
        <v>85</v>
      </c>
      <c r="R4" s="13" t="s">
        <v>86</v>
      </c>
      <c r="S4" s="13" t="s">
        <v>87</v>
      </c>
      <c r="T4" s="14"/>
      <c r="U4" s="14" t="s">
        <v>72</v>
      </c>
      <c r="V4" s="14"/>
    </row>
    <row r="5" customFormat="false" ht="26.85" hidden="false" customHeight="false" outlineLevel="0" collapsed="false">
      <c r="A5" s="10" t="s">
        <v>88</v>
      </c>
      <c r="B5" s="10" t="s">
        <v>60</v>
      </c>
      <c r="C5" s="10" t="s">
        <v>89</v>
      </c>
      <c r="D5" s="10" t="s">
        <v>90</v>
      </c>
      <c r="E5" s="10" t="s">
        <v>63</v>
      </c>
      <c r="F5" s="10" t="s">
        <v>64</v>
      </c>
      <c r="G5" s="10" t="s">
        <v>17</v>
      </c>
      <c r="H5" s="9" t="n">
        <v>-1644453.51</v>
      </c>
      <c r="I5" s="9" t="n">
        <v>-1644453.51</v>
      </c>
      <c r="J5" s="9" t="n">
        <v>-1644453.51</v>
      </c>
      <c r="K5" s="9" t="n">
        <v>-138134094.84</v>
      </c>
      <c r="L5" s="10" t="s">
        <v>65</v>
      </c>
      <c r="M5" s="10" t="s">
        <v>91</v>
      </c>
      <c r="N5" s="10" t="n">
        <v>7</v>
      </c>
      <c r="O5" s="10" t="s">
        <v>67</v>
      </c>
      <c r="P5" s="10" t="s">
        <v>68</v>
      </c>
      <c r="Q5" s="10" t="s">
        <v>69</v>
      </c>
      <c r="R5" s="13" t="s">
        <v>70</v>
      </c>
      <c r="S5" s="13" t="s">
        <v>71</v>
      </c>
      <c r="T5" s="14"/>
      <c r="U5" s="14" t="s">
        <v>72</v>
      </c>
      <c r="V5" s="14"/>
    </row>
    <row r="6" customFormat="false" ht="26.85" hidden="false" customHeight="false" outlineLevel="0" collapsed="false">
      <c r="A6" s="10" t="s">
        <v>92</v>
      </c>
      <c r="B6" s="10" t="s">
        <v>60</v>
      </c>
      <c r="C6" s="10" t="s">
        <v>93</v>
      </c>
      <c r="D6" s="10" t="s">
        <v>94</v>
      </c>
      <c r="E6" s="10" t="s">
        <v>63</v>
      </c>
      <c r="F6" s="10" t="s">
        <v>64</v>
      </c>
      <c r="G6" s="10" t="s">
        <v>18</v>
      </c>
      <c r="H6" s="9" t="n">
        <v>-1396909.08</v>
      </c>
      <c r="I6" s="10"/>
      <c r="J6" s="9" t="n">
        <v>-1396909.08</v>
      </c>
      <c r="K6" s="9" t="n">
        <v>-117340362.72</v>
      </c>
      <c r="L6" s="10" t="s">
        <v>95</v>
      </c>
      <c r="M6" s="10"/>
      <c r="N6" s="10" t="n">
        <v>2</v>
      </c>
      <c r="O6" s="10" t="s">
        <v>96</v>
      </c>
      <c r="P6" s="10" t="s">
        <v>68</v>
      </c>
      <c r="Q6" s="10" t="s">
        <v>97</v>
      </c>
      <c r="R6" s="13" t="s">
        <v>98</v>
      </c>
      <c r="S6" s="13" t="s">
        <v>99</v>
      </c>
      <c r="T6" s="14"/>
      <c r="U6" s="14" t="s">
        <v>72</v>
      </c>
      <c r="V6" s="14"/>
    </row>
    <row r="7" customFormat="false" ht="26.85" hidden="false" customHeight="false" outlineLevel="0" collapsed="false">
      <c r="A7" s="10" t="s">
        <v>100</v>
      </c>
      <c r="B7" s="10" t="s">
        <v>74</v>
      </c>
      <c r="C7" s="10" t="s">
        <v>83</v>
      </c>
      <c r="D7" s="10" t="s">
        <v>101</v>
      </c>
      <c r="E7" s="10" t="s">
        <v>102</v>
      </c>
      <c r="F7" s="10" t="s">
        <v>64</v>
      </c>
      <c r="G7" s="10" t="s">
        <v>23</v>
      </c>
      <c r="H7" s="6" t="n">
        <v>26100</v>
      </c>
      <c r="I7" s="6" t="n">
        <v>39150</v>
      </c>
      <c r="J7" s="6" t="n">
        <v>13050</v>
      </c>
      <c r="K7" s="9" t="n">
        <v>82105380</v>
      </c>
      <c r="L7" s="10" t="s">
        <v>77</v>
      </c>
      <c r="M7" s="10" t="s">
        <v>77</v>
      </c>
      <c r="N7" s="10" t="n">
        <v>0</v>
      </c>
      <c r="O7" s="10" t="s">
        <v>78</v>
      </c>
      <c r="P7" s="10" t="s">
        <v>68</v>
      </c>
      <c r="Q7" s="10" t="s">
        <v>103</v>
      </c>
      <c r="R7" s="13" t="s">
        <v>104</v>
      </c>
      <c r="S7" s="13" t="s">
        <v>105</v>
      </c>
      <c r="T7" s="14"/>
      <c r="U7" s="14" t="s">
        <v>72</v>
      </c>
      <c r="V7" s="14"/>
    </row>
    <row r="8" customFormat="false" ht="26.85" hidden="false" customHeight="false" outlineLevel="0" collapsed="false">
      <c r="A8" s="10" t="s">
        <v>106</v>
      </c>
      <c r="B8" s="10" t="s">
        <v>74</v>
      </c>
      <c r="C8" s="10" t="s">
        <v>93</v>
      </c>
      <c r="D8" s="10" t="s">
        <v>107</v>
      </c>
      <c r="E8" s="10" t="s">
        <v>108</v>
      </c>
      <c r="F8" s="10" t="s">
        <v>109</v>
      </c>
      <c r="G8" s="10" t="s">
        <v>23</v>
      </c>
      <c r="H8" s="6" t="n">
        <v>49500</v>
      </c>
      <c r="I8" s="6" t="n">
        <v>99000</v>
      </c>
      <c r="J8" s="6" t="n">
        <v>49500</v>
      </c>
      <c r="K8" s="9" t="n">
        <v>76230000</v>
      </c>
      <c r="L8" s="10" t="s">
        <v>77</v>
      </c>
      <c r="M8" s="10" t="s">
        <v>77</v>
      </c>
      <c r="N8" s="10" t="n">
        <v>0</v>
      </c>
      <c r="O8" s="10" t="s">
        <v>78</v>
      </c>
      <c r="P8" s="10" t="s">
        <v>68</v>
      </c>
      <c r="Q8" s="10" t="s">
        <v>103</v>
      </c>
      <c r="R8" s="13" t="s">
        <v>104</v>
      </c>
      <c r="S8" s="13" t="s">
        <v>105</v>
      </c>
      <c r="T8" s="14"/>
      <c r="U8" s="14" t="s">
        <v>72</v>
      </c>
      <c r="V8" s="14"/>
    </row>
    <row r="9" customFormat="false" ht="26.85" hidden="false" customHeight="false" outlineLevel="0" collapsed="false">
      <c r="A9" s="10" t="s">
        <v>110</v>
      </c>
      <c r="B9" s="10" t="s">
        <v>74</v>
      </c>
      <c r="C9" s="10" t="s">
        <v>111</v>
      </c>
      <c r="D9" s="10" t="s">
        <v>112</v>
      </c>
      <c r="E9" s="10" t="s">
        <v>113</v>
      </c>
      <c r="F9" s="10" t="s">
        <v>109</v>
      </c>
      <c r="G9" s="10" t="s">
        <v>18</v>
      </c>
      <c r="H9" s="6" t="n">
        <v>40850</v>
      </c>
      <c r="I9" s="10"/>
      <c r="J9" s="6" t="n">
        <v>-40850</v>
      </c>
      <c r="K9" s="9" t="n">
        <v>-16850625</v>
      </c>
      <c r="L9" s="10" t="s">
        <v>77</v>
      </c>
      <c r="M9" s="10" t="s">
        <v>77</v>
      </c>
      <c r="N9" s="10" t="n">
        <v>0</v>
      </c>
      <c r="O9" s="10" t="s">
        <v>78</v>
      </c>
      <c r="P9" s="10" t="s">
        <v>68</v>
      </c>
      <c r="Q9" s="10" t="s">
        <v>79</v>
      </c>
      <c r="R9" s="13" t="s">
        <v>80</v>
      </c>
      <c r="S9" s="13" t="s">
        <v>81</v>
      </c>
      <c r="T9" s="14"/>
      <c r="U9" s="14" t="s">
        <v>72</v>
      </c>
      <c r="V9" s="14"/>
    </row>
    <row r="10" customFormat="false" ht="26.85" hidden="false" customHeight="false" outlineLevel="0" collapsed="false">
      <c r="A10" s="10" t="s">
        <v>114</v>
      </c>
      <c r="B10" s="10" t="s">
        <v>60</v>
      </c>
      <c r="C10" s="10" t="s">
        <v>89</v>
      </c>
      <c r="D10" s="10" t="s">
        <v>115</v>
      </c>
      <c r="E10" s="10" t="s">
        <v>116</v>
      </c>
      <c r="F10" s="10" t="s">
        <v>64</v>
      </c>
      <c r="G10" s="10" t="s">
        <v>19</v>
      </c>
      <c r="H10" s="10"/>
      <c r="I10" s="9" t="n">
        <v>69282.71</v>
      </c>
      <c r="J10" s="9" t="n">
        <v>69282.71</v>
      </c>
      <c r="K10" s="9" t="n">
        <v>5819747.64</v>
      </c>
      <c r="L10" s="10"/>
      <c r="M10" s="10" t="s">
        <v>95</v>
      </c>
      <c r="N10" s="10" t="n">
        <v>2</v>
      </c>
      <c r="O10" s="10" t="s">
        <v>96</v>
      </c>
      <c r="P10" s="10" t="s">
        <v>68</v>
      </c>
      <c r="Q10" s="10" t="s">
        <v>103</v>
      </c>
      <c r="R10" s="13" t="s">
        <v>104</v>
      </c>
      <c r="S10" s="13" t="s">
        <v>105</v>
      </c>
      <c r="T10" s="14"/>
      <c r="U10" s="14" t="s">
        <v>72</v>
      </c>
      <c r="V10" s="14"/>
    </row>
    <row r="11" customFormat="false" ht="26.85" hidden="false" customHeight="false" outlineLevel="0" collapsed="false">
      <c r="A11" s="10" t="s">
        <v>117</v>
      </c>
      <c r="B11" s="10" t="s">
        <v>60</v>
      </c>
      <c r="C11" s="10" t="s">
        <v>111</v>
      </c>
      <c r="D11" s="10" t="s">
        <v>118</v>
      </c>
      <c r="E11" s="10" t="s">
        <v>63</v>
      </c>
      <c r="F11" s="10" t="s">
        <v>109</v>
      </c>
      <c r="G11" s="10" t="s">
        <v>18</v>
      </c>
      <c r="H11" s="9" t="n">
        <v>-4422543.81</v>
      </c>
      <c r="I11" s="10"/>
      <c r="J11" s="9" t="n">
        <v>-4422543.81</v>
      </c>
      <c r="K11" s="9" t="n">
        <v>-4422543.81</v>
      </c>
      <c r="L11" s="10" t="s">
        <v>119</v>
      </c>
      <c r="M11" s="10"/>
      <c r="N11" s="10" t="n">
        <v>1</v>
      </c>
      <c r="O11" s="10" t="s">
        <v>78</v>
      </c>
      <c r="P11" s="10" t="s">
        <v>68</v>
      </c>
      <c r="Q11" s="10" t="s">
        <v>97</v>
      </c>
      <c r="R11" s="13" t="s">
        <v>98</v>
      </c>
      <c r="S11" s="13" t="s">
        <v>99</v>
      </c>
      <c r="T11" s="14"/>
      <c r="U11" s="14" t="s">
        <v>72</v>
      </c>
      <c r="V11" s="14"/>
    </row>
    <row r="12" customFormat="false" ht="26.85" hidden="false" customHeight="false" outlineLevel="0" collapsed="false">
      <c r="A12" s="10" t="s">
        <v>120</v>
      </c>
      <c r="B12" s="10" t="s">
        <v>60</v>
      </c>
      <c r="C12" s="10" t="s">
        <v>89</v>
      </c>
      <c r="D12" s="10" t="s">
        <v>121</v>
      </c>
      <c r="E12" s="10" t="s">
        <v>63</v>
      </c>
      <c r="F12" s="10" t="s">
        <v>109</v>
      </c>
      <c r="G12" s="10" t="s">
        <v>21</v>
      </c>
      <c r="H12" s="9" t="n">
        <v>2888328.42</v>
      </c>
      <c r="I12" s="9" t="n">
        <v>5776656.84</v>
      </c>
      <c r="J12" s="9" t="n">
        <v>2888328.42</v>
      </c>
      <c r="K12" s="9" t="n">
        <v>2888328.42</v>
      </c>
      <c r="L12" s="10" t="s">
        <v>77</v>
      </c>
      <c r="M12" s="10" t="s">
        <v>77</v>
      </c>
      <c r="N12" s="10" t="n">
        <v>0</v>
      </c>
      <c r="O12" s="10" t="s">
        <v>78</v>
      </c>
      <c r="P12" s="10" t="s">
        <v>68</v>
      </c>
      <c r="Q12" s="10" t="s">
        <v>122</v>
      </c>
      <c r="R12" s="13" t="s">
        <v>123</v>
      </c>
      <c r="S12" s="13" t="s">
        <v>124</v>
      </c>
      <c r="T12" s="14"/>
      <c r="U12" s="14" t="s">
        <v>72</v>
      </c>
      <c r="V12" s="14"/>
    </row>
    <row r="13" customFormat="false" ht="26.85" hidden="false" customHeight="false" outlineLevel="0" collapsed="false">
      <c r="A13" s="10" t="s">
        <v>125</v>
      </c>
      <c r="B13" s="10" t="s">
        <v>60</v>
      </c>
      <c r="C13" s="10" t="s">
        <v>89</v>
      </c>
      <c r="D13" s="10" t="s">
        <v>126</v>
      </c>
      <c r="E13" s="10" t="s">
        <v>63</v>
      </c>
      <c r="F13" s="10" t="s">
        <v>109</v>
      </c>
      <c r="G13" s="10" t="s">
        <v>17</v>
      </c>
      <c r="H13" s="9" t="n">
        <v>2162481.83</v>
      </c>
      <c r="I13" s="9" t="n">
        <v>2162481.83</v>
      </c>
      <c r="J13" s="9" t="n">
        <v>2162481.83</v>
      </c>
      <c r="K13" s="9" t="n">
        <v>2162481.83</v>
      </c>
      <c r="L13" s="10" t="s">
        <v>65</v>
      </c>
      <c r="M13" s="10" t="s">
        <v>66</v>
      </c>
      <c r="N13" s="10" t="n">
        <v>7</v>
      </c>
      <c r="O13" s="10" t="s">
        <v>67</v>
      </c>
      <c r="P13" s="10" t="s">
        <v>68</v>
      </c>
      <c r="Q13" s="10" t="s">
        <v>69</v>
      </c>
      <c r="R13" s="13" t="s">
        <v>70</v>
      </c>
      <c r="S13" s="13" t="s">
        <v>71</v>
      </c>
      <c r="T13" s="14"/>
      <c r="U13" s="14" t="s">
        <v>72</v>
      </c>
      <c r="V13" s="14"/>
    </row>
    <row r="14" customFormat="false" ht="26.85" hidden="false" customHeight="false" outlineLevel="0" collapsed="false">
      <c r="A14" s="10" t="s">
        <v>127</v>
      </c>
      <c r="B14" s="10" t="s">
        <v>60</v>
      </c>
      <c r="C14" s="10" t="s">
        <v>61</v>
      </c>
      <c r="D14" s="10" t="s">
        <v>128</v>
      </c>
      <c r="E14" s="10" t="s">
        <v>63</v>
      </c>
      <c r="F14" s="10" t="s">
        <v>109</v>
      </c>
      <c r="G14" s="10" t="s">
        <v>17</v>
      </c>
      <c r="H14" s="9" t="n">
        <v>-2098377.18</v>
      </c>
      <c r="I14" s="9" t="n">
        <v>-2098377.18</v>
      </c>
      <c r="J14" s="9" t="n">
        <v>-2098377.18</v>
      </c>
      <c r="K14" s="9" t="n">
        <v>-2098377.18</v>
      </c>
      <c r="L14" s="10" t="s">
        <v>129</v>
      </c>
      <c r="M14" s="10" t="s">
        <v>130</v>
      </c>
      <c r="N14" s="10" t="n">
        <v>5</v>
      </c>
      <c r="O14" s="10" t="s">
        <v>67</v>
      </c>
      <c r="P14" s="10" t="s">
        <v>68</v>
      </c>
      <c r="Q14" s="10" t="s">
        <v>69</v>
      </c>
      <c r="R14" s="13" t="s">
        <v>70</v>
      </c>
      <c r="S14" s="13" t="s">
        <v>71</v>
      </c>
      <c r="T14" s="14"/>
      <c r="U14" s="14" t="s">
        <v>72</v>
      </c>
      <c r="V14" s="14"/>
    </row>
    <row r="15" customFormat="false" ht="26.85" hidden="false" customHeight="false" outlineLevel="0" collapsed="false">
      <c r="A15" s="10" t="s">
        <v>131</v>
      </c>
      <c r="B15" s="10" t="s">
        <v>60</v>
      </c>
      <c r="C15" s="10" t="s">
        <v>61</v>
      </c>
      <c r="D15" s="10" t="s">
        <v>132</v>
      </c>
      <c r="E15" s="10" t="s">
        <v>63</v>
      </c>
      <c r="F15" s="10" t="s">
        <v>109</v>
      </c>
      <c r="G15" s="10" t="s">
        <v>17</v>
      </c>
      <c r="H15" s="9" t="n">
        <v>1935476.77</v>
      </c>
      <c r="I15" s="9" t="n">
        <v>1935476.77</v>
      </c>
      <c r="J15" s="9" t="n">
        <v>1935476.77</v>
      </c>
      <c r="K15" s="9" t="n">
        <v>1935476.77</v>
      </c>
      <c r="L15" s="10" t="s">
        <v>129</v>
      </c>
      <c r="M15" s="10" t="s">
        <v>95</v>
      </c>
      <c r="N15" s="10" t="n">
        <v>5</v>
      </c>
      <c r="O15" s="10" t="s">
        <v>67</v>
      </c>
      <c r="P15" s="10" t="s">
        <v>68</v>
      </c>
      <c r="Q15" s="10" t="s">
        <v>69</v>
      </c>
      <c r="R15" s="13" t="s">
        <v>70</v>
      </c>
      <c r="S15" s="13" t="s">
        <v>71</v>
      </c>
      <c r="T15" s="14"/>
      <c r="U15" s="14" t="s">
        <v>72</v>
      </c>
      <c r="V15" s="14"/>
    </row>
    <row r="16" customFormat="false" ht="26.85" hidden="false" customHeight="false" outlineLevel="0" collapsed="false">
      <c r="A16" s="10" t="s">
        <v>133</v>
      </c>
      <c r="B16" s="10" t="s">
        <v>74</v>
      </c>
      <c r="C16" s="10" t="s">
        <v>111</v>
      </c>
      <c r="D16" s="10" t="s">
        <v>134</v>
      </c>
      <c r="E16" s="10" t="s">
        <v>135</v>
      </c>
      <c r="F16" s="10" t="s">
        <v>109</v>
      </c>
      <c r="G16" s="10" t="s">
        <v>19</v>
      </c>
      <c r="H16" s="10"/>
      <c r="I16" s="6" t="n">
        <v>19750</v>
      </c>
      <c r="J16" s="6" t="n">
        <v>19750</v>
      </c>
      <c r="K16" s="9" t="n">
        <v>1901925</v>
      </c>
      <c r="L16" s="10" t="s">
        <v>77</v>
      </c>
      <c r="M16" s="10" t="s">
        <v>77</v>
      </c>
      <c r="N16" s="10" t="n">
        <v>0</v>
      </c>
      <c r="O16" s="10" t="s">
        <v>78</v>
      </c>
      <c r="P16" s="10" t="s">
        <v>68</v>
      </c>
      <c r="Q16" s="10" t="s">
        <v>85</v>
      </c>
      <c r="R16" s="13" t="s">
        <v>86</v>
      </c>
      <c r="S16" s="13" t="s">
        <v>87</v>
      </c>
      <c r="T16" s="14"/>
      <c r="U16" s="14" t="s">
        <v>72</v>
      </c>
      <c r="V16" s="14"/>
    </row>
    <row r="17" customFormat="false" ht="26.85" hidden="false" customHeight="false" outlineLevel="0" collapsed="false">
      <c r="A17" s="10" t="s">
        <v>136</v>
      </c>
      <c r="B17" s="10" t="s">
        <v>60</v>
      </c>
      <c r="C17" s="10" t="s">
        <v>61</v>
      </c>
      <c r="D17" s="10" t="s">
        <v>137</v>
      </c>
      <c r="E17" s="10" t="s">
        <v>63</v>
      </c>
      <c r="F17" s="10" t="s">
        <v>109</v>
      </c>
      <c r="G17" s="10" t="s">
        <v>17</v>
      </c>
      <c r="H17" s="9" t="n">
        <v>1800310.49</v>
      </c>
      <c r="I17" s="9" t="n">
        <v>1800310.49</v>
      </c>
      <c r="J17" s="9" t="n">
        <v>1800310.49</v>
      </c>
      <c r="K17" s="9" t="n">
        <v>1800310.49</v>
      </c>
      <c r="L17" s="10" t="s">
        <v>91</v>
      </c>
      <c r="M17" s="10" t="s">
        <v>130</v>
      </c>
      <c r="N17" s="10" t="n">
        <v>6</v>
      </c>
      <c r="O17" s="10" t="s">
        <v>67</v>
      </c>
      <c r="P17" s="10" t="s">
        <v>68</v>
      </c>
      <c r="Q17" s="10" t="s">
        <v>69</v>
      </c>
      <c r="R17" s="13" t="s">
        <v>70</v>
      </c>
      <c r="S17" s="13" t="s">
        <v>71</v>
      </c>
      <c r="T17" s="14"/>
      <c r="U17" s="14" t="s">
        <v>72</v>
      </c>
      <c r="V17" s="14"/>
    </row>
    <row r="18" customFormat="false" ht="26.85" hidden="false" customHeight="false" outlineLevel="0" collapsed="false">
      <c r="A18" s="10" t="s">
        <v>138</v>
      </c>
      <c r="B18" s="10" t="s">
        <v>60</v>
      </c>
      <c r="C18" s="10" t="s">
        <v>89</v>
      </c>
      <c r="D18" s="10" t="s">
        <v>139</v>
      </c>
      <c r="E18" s="10" t="s">
        <v>63</v>
      </c>
      <c r="F18" s="10" t="s">
        <v>109</v>
      </c>
      <c r="G18" s="10" t="s">
        <v>18</v>
      </c>
      <c r="H18" s="9" t="n">
        <v>1402175.88</v>
      </c>
      <c r="I18" s="10"/>
      <c r="J18" s="9" t="n">
        <v>1402175.88</v>
      </c>
      <c r="K18" s="9" t="n">
        <v>1402175.88</v>
      </c>
      <c r="L18" s="10" t="s">
        <v>65</v>
      </c>
      <c r="M18" s="10"/>
      <c r="N18" s="10" t="n">
        <v>7</v>
      </c>
      <c r="O18" s="10" t="s">
        <v>67</v>
      </c>
      <c r="P18" s="10" t="s">
        <v>68</v>
      </c>
      <c r="Q18" s="10" t="s">
        <v>97</v>
      </c>
      <c r="R18" s="13" t="s">
        <v>98</v>
      </c>
      <c r="S18" s="13" t="s">
        <v>99</v>
      </c>
      <c r="T18" s="14"/>
      <c r="U18" s="14" t="s">
        <v>72</v>
      </c>
      <c r="V18" s="14"/>
    </row>
    <row r="19" customFormat="false" ht="26.85" hidden="false" customHeight="false" outlineLevel="0" collapsed="false">
      <c r="A19" s="10" t="s">
        <v>140</v>
      </c>
      <c r="B19" s="10" t="s">
        <v>60</v>
      </c>
      <c r="C19" s="10" t="s">
        <v>83</v>
      </c>
      <c r="D19" s="10" t="s">
        <v>141</v>
      </c>
      <c r="E19" s="10" t="s">
        <v>63</v>
      </c>
      <c r="F19" s="10" t="s">
        <v>64</v>
      </c>
      <c r="G19" s="10" t="s">
        <v>16</v>
      </c>
      <c r="H19" s="9" t="n">
        <v>2891795.02</v>
      </c>
      <c r="I19" s="9" t="n">
        <v>2877231.63</v>
      </c>
      <c r="J19" s="9" t="n">
        <v>-14563.39</v>
      </c>
      <c r="K19" s="9" t="n">
        <v>-1223324.76</v>
      </c>
      <c r="L19" s="10" t="s">
        <v>95</v>
      </c>
      <c r="M19" s="10" t="s">
        <v>95</v>
      </c>
      <c r="N19" s="10" t="n">
        <v>2</v>
      </c>
      <c r="O19" s="10" t="s">
        <v>96</v>
      </c>
      <c r="P19" s="10" t="s">
        <v>68</v>
      </c>
      <c r="Q19" s="10" t="s">
        <v>142</v>
      </c>
      <c r="R19" s="13" t="s">
        <v>143</v>
      </c>
      <c r="S19" s="13" t="s">
        <v>144</v>
      </c>
      <c r="T19" s="14"/>
      <c r="U19" s="14" t="s">
        <v>72</v>
      </c>
      <c r="V19" s="14"/>
    </row>
    <row r="20" customFormat="false" ht="26.85" hidden="false" customHeight="false" outlineLevel="0" collapsed="false">
      <c r="A20" s="10" t="s">
        <v>145</v>
      </c>
      <c r="B20" s="10" t="s">
        <v>60</v>
      </c>
      <c r="C20" s="10" t="s">
        <v>83</v>
      </c>
      <c r="D20" s="10" t="s">
        <v>146</v>
      </c>
      <c r="E20" s="10" t="s">
        <v>63</v>
      </c>
      <c r="F20" s="10" t="s">
        <v>109</v>
      </c>
      <c r="G20" s="10" t="s">
        <v>17</v>
      </c>
      <c r="H20" s="9" t="n">
        <v>540933.39</v>
      </c>
      <c r="I20" s="9" t="n">
        <v>540933.39</v>
      </c>
      <c r="J20" s="9" t="n">
        <v>540933.39</v>
      </c>
      <c r="K20" s="9" t="n">
        <v>540933.39</v>
      </c>
      <c r="L20" s="10" t="s">
        <v>91</v>
      </c>
      <c r="M20" s="10" t="s">
        <v>130</v>
      </c>
      <c r="N20" s="10" t="n">
        <v>6</v>
      </c>
      <c r="O20" s="10" t="s">
        <v>67</v>
      </c>
      <c r="P20" s="10" t="s">
        <v>68</v>
      </c>
      <c r="Q20" s="10" t="s">
        <v>69</v>
      </c>
      <c r="R20" s="13" t="s">
        <v>70</v>
      </c>
      <c r="S20" s="13" t="s">
        <v>71</v>
      </c>
      <c r="T20" s="14"/>
      <c r="U20" s="14" t="s">
        <v>72</v>
      </c>
      <c r="V20" s="14"/>
    </row>
    <row r="21" customFormat="false" ht="26.85" hidden="false" customHeight="false" outlineLevel="0" collapsed="false">
      <c r="A21" s="10" t="s">
        <v>147</v>
      </c>
      <c r="B21" s="10" t="s">
        <v>60</v>
      </c>
      <c r="C21" s="10" t="s">
        <v>111</v>
      </c>
      <c r="D21" s="10" t="s">
        <v>148</v>
      </c>
      <c r="E21" s="10" t="s">
        <v>63</v>
      </c>
      <c r="F21" s="10" t="s">
        <v>109</v>
      </c>
      <c r="G21" s="10" t="s">
        <v>17</v>
      </c>
      <c r="H21" s="9" t="n">
        <v>382309.88</v>
      </c>
      <c r="I21" s="9" t="n">
        <v>382309.88</v>
      </c>
      <c r="J21" s="9" t="n">
        <v>382309.88</v>
      </c>
      <c r="K21" s="9" t="n">
        <v>382309.88</v>
      </c>
      <c r="L21" s="10" t="s">
        <v>91</v>
      </c>
      <c r="M21" s="10" t="s">
        <v>129</v>
      </c>
      <c r="N21" s="10" t="n">
        <v>6</v>
      </c>
      <c r="O21" s="10" t="s">
        <v>67</v>
      </c>
      <c r="P21" s="10" t="s">
        <v>68</v>
      </c>
      <c r="Q21" s="10" t="s">
        <v>69</v>
      </c>
      <c r="R21" s="13" t="s">
        <v>70</v>
      </c>
      <c r="S21" s="13" t="s">
        <v>71</v>
      </c>
      <c r="T21" s="14"/>
      <c r="U21" s="14" t="s">
        <v>72</v>
      </c>
      <c r="V21" s="14"/>
    </row>
    <row r="22" customFormat="false" ht="26.85" hidden="false" customHeight="false" outlineLevel="0" collapsed="false">
      <c r="A22" s="10" t="s">
        <v>149</v>
      </c>
      <c r="B22" s="10" t="s">
        <v>60</v>
      </c>
      <c r="C22" s="10" t="s">
        <v>83</v>
      </c>
      <c r="D22" s="10" t="s">
        <v>150</v>
      </c>
      <c r="E22" s="10" t="s">
        <v>151</v>
      </c>
      <c r="F22" s="10" t="s">
        <v>109</v>
      </c>
      <c r="G22" s="10" t="s">
        <v>19</v>
      </c>
      <c r="H22" s="10"/>
      <c r="I22" s="9" t="n">
        <v>-6514.18</v>
      </c>
      <c r="J22" s="9" t="n">
        <v>-6514.18</v>
      </c>
      <c r="K22" s="9" t="n">
        <v>-6514.18</v>
      </c>
      <c r="L22" s="10"/>
      <c r="M22" s="10" t="s">
        <v>65</v>
      </c>
      <c r="N22" s="10" t="n">
        <v>7</v>
      </c>
      <c r="O22" s="10" t="s">
        <v>67</v>
      </c>
      <c r="P22" s="10" t="s">
        <v>68</v>
      </c>
      <c r="Q22" s="10" t="s">
        <v>152</v>
      </c>
      <c r="R22" s="13" t="s">
        <v>153</v>
      </c>
      <c r="S22" s="13" t="s">
        <v>154</v>
      </c>
      <c r="T22" s="14"/>
      <c r="U22" s="14" t="s">
        <v>72</v>
      </c>
      <c r="V22" s="14"/>
    </row>
    <row r="23" customFormat="false" ht="26.85" hidden="false" customHeight="false" outlineLevel="0" collapsed="false">
      <c r="A23" s="10" t="s">
        <v>155</v>
      </c>
      <c r="B23" s="10" t="s">
        <v>60</v>
      </c>
      <c r="C23" s="10" t="s">
        <v>61</v>
      </c>
      <c r="D23" s="10" t="s">
        <v>156</v>
      </c>
      <c r="E23" s="10" t="s">
        <v>157</v>
      </c>
      <c r="F23" s="10" t="s">
        <v>109</v>
      </c>
      <c r="G23" s="10" t="s">
        <v>18</v>
      </c>
      <c r="H23" s="9" t="n">
        <v>486046.11</v>
      </c>
      <c r="I23" s="10"/>
      <c r="J23" s="9" t="n">
        <v>486046.11</v>
      </c>
      <c r="K23" s="9" t="n">
        <v>486046.11</v>
      </c>
      <c r="L23" s="10" t="s">
        <v>119</v>
      </c>
      <c r="M23" s="10"/>
      <c r="N23" s="10" t="n">
        <v>1</v>
      </c>
      <c r="O23" s="10" t="s">
        <v>78</v>
      </c>
      <c r="P23" s="10" t="s">
        <v>158</v>
      </c>
      <c r="Q23" s="10" t="s">
        <v>159</v>
      </c>
      <c r="R23" s="13" t="s">
        <v>160</v>
      </c>
      <c r="S23" s="13" t="s">
        <v>161</v>
      </c>
      <c r="T23" s="14"/>
      <c r="U23" s="14" t="s">
        <v>72</v>
      </c>
      <c r="V23" s="14"/>
    </row>
    <row r="24" customFormat="false" ht="26.85" hidden="false" customHeight="false" outlineLevel="0" collapsed="false">
      <c r="A24" s="10" t="s">
        <v>162</v>
      </c>
      <c r="B24" s="10" t="s">
        <v>60</v>
      </c>
      <c r="C24" s="10" t="s">
        <v>111</v>
      </c>
      <c r="D24" s="10" t="s">
        <v>163</v>
      </c>
      <c r="E24" s="10" t="s">
        <v>164</v>
      </c>
      <c r="F24" s="10" t="s">
        <v>109</v>
      </c>
      <c r="G24" s="10" t="s">
        <v>20</v>
      </c>
      <c r="H24" s="9" t="n">
        <v>744620.92</v>
      </c>
      <c r="I24" s="9" t="n">
        <v>372310.46</v>
      </c>
      <c r="J24" s="9" t="n">
        <v>372310.46</v>
      </c>
      <c r="K24" s="9" t="n">
        <v>372310.46</v>
      </c>
      <c r="L24" s="10" t="s">
        <v>77</v>
      </c>
      <c r="M24" s="10" t="s">
        <v>77</v>
      </c>
      <c r="N24" s="10" t="n">
        <v>0</v>
      </c>
      <c r="O24" s="10" t="s">
        <v>78</v>
      </c>
      <c r="P24" s="10" t="s">
        <v>158</v>
      </c>
      <c r="Q24" s="10" t="s">
        <v>165</v>
      </c>
      <c r="R24" s="13" t="s">
        <v>166</v>
      </c>
      <c r="S24" s="13" t="s">
        <v>167</v>
      </c>
      <c r="T24" s="14"/>
      <c r="U24" s="14" t="s">
        <v>72</v>
      </c>
      <c r="V24" s="14"/>
    </row>
    <row r="25" customFormat="false" ht="26.85" hidden="false" customHeight="false" outlineLevel="0" collapsed="false">
      <c r="A25" s="10" t="s">
        <v>168</v>
      </c>
      <c r="B25" s="10" t="s">
        <v>60</v>
      </c>
      <c r="C25" s="10" t="s">
        <v>93</v>
      </c>
      <c r="D25" s="10" t="s">
        <v>169</v>
      </c>
      <c r="E25" s="10" t="s">
        <v>157</v>
      </c>
      <c r="F25" s="10" t="s">
        <v>109</v>
      </c>
      <c r="G25" s="10" t="s">
        <v>20</v>
      </c>
      <c r="H25" s="9" t="n">
        <v>706634.56</v>
      </c>
      <c r="I25" s="9" t="n">
        <v>353317.28</v>
      </c>
      <c r="J25" s="9" t="n">
        <v>353317.28</v>
      </c>
      <c r="K25" s="9" t="n">
        <v>353317.28</v>
      </c>
      <c r="L25" s="10" t="s">
        <v>95</v>
      </c>
      <c r="M25" s="10" t="s">
        <v>95</v>
      </c>
      <c r="N25" s="10" t="n">
        <v>2</v>
      </c>
      <c r="O25" s="10" t="s">
        <v>96</v>
      </c>
      <c r="P25" s="10" t="s">
        <v>158</v>
      </c>
      <c r="Q25" s="10" t="s">
        <v>165</v>
      </c>
      <c r="R25" s="13" t="s">
        <v>166</v>
      </c>
      <c r="S25" s="13" t="s">
        <v>167</v>
      </c>
      <c r="T25" s="14"/>
      <c r="U25" s="14" t="s">
        <v>72</v>
      </c>
      <c r="V25" s="14"/>
    </row>
    <row r="26" customFormat="false" ht="26.85" hidden="false" customHeight="false" outlineLevel="0" collapsed="false">
      <c r="A26" s="10" t="s">
        <v>170</v>
      </c>
      <c r="B26" s="10" t="s">
        <v>74</v>
      </c>
      <c r="C26" s="10" t="s">
        <v>89</v>
      </c>
      <c r="D26" s="10" t="s">
        <v>171</v>
      </c>
      <c r="E26" s="10" t="s">
        <v>102</v>
      </c>
      <c r="F26" s="10" t="s">
        <v>64</v>
      </c>
      <c r="G26" s="10" t="s">
        <v>23</v>
      </c>
      <c r="H26" s="6" t="n">
        <v>28100</v>
      </c>
      <c r="I26" s="6" t="n">
        <v>28047</v>
      </c>
      <c r="J26" s="6" t="n">
        <v>-53</v>
      </c>
      <c r="K26" s="9" t="n">
        <v>-333454.8</v>
      </c>
      <c r="L26" s="10" t="s">
        <v>77</v>
      </c>
      <c r="M26" s="10" t="s">
        <v>77</v>
      </c>
      <c r="N26" s="10" t="n">
        <v>0</v>
      </c>
      <c r="O26" s="10" t="s">
        <v>78</v>
      </c>
      <c r="P26" s="10" t="s">
        <v>158</v>
      </c>
      <c r="Q26" s="10" t="s">
        <v>172</v>
      </c>
      <c r="R26" s="13" t="s">
        <v>173</v>
      </c>
      <c r="S26" s="13" t="s">
        <v>174</v>
      </c>
      <c r="T26" s="14"/>
      <c r="U26" s="14" t="s">
        <v>72</v>
      </c>
      <c r="V26" s="14"/>
    </row>
    <row r="27" customFormat="false" ht="26.85" hidden="false" customHeight="false" outlineLevel="0" collapsed="false">
      <c r="A27" s="10" t="s">
        <v>175</v>
      </c>
      <c r="B27" s="10" t="s">
        <v>60</v>
      </c>
      <c r="C27" s="10" t="s">
        <v>83</v>
      </c>
      <c r="D27" s="10" t="s">
        <v>176</v>
      </c>
      <c r="E27" s="10" t="s">
        <v>164</v>
      </c>
      <c r="F27" s="10" t="s">
        <v>109</v>
      </c>
      <c r="G27" s="10" t="s">
        <v>18</v>
      </c>
      <c r="H27" s="9" t="n">
        <v>229554.67</v>
      </c>
      <c r="I27" s="10"/>
      <c r="J27" s="9" t="n">
        <v>229554.67</v>
      </c>
      <c r="K27" s="9" t="n">
        <v>229554.67</v>
      </c>
      <c r="L27" s="10" t="s">
        <v>77</v>
      </c>
      <c r="M27" s="10"/>
      <c r="N27" s="10" t="n">
        <v>0</v>
      </c>
      <c r="O27" s="10" t="s">
        <v>78</v>
      </c>
      <c r="P27" s="10" t="s">
        <v>158</v>
      </c>
      <c r="Q27" s="10" t="s">
        <v>159</v>
      </c>
      <c r="R27" s="13" t="s">
        <v>160</v>
      </c>
      <c r="S27" s="13" t="s">
        <v>161</v>
      </c>
      <c r="T27" s="14"/>
      <c r="U27" s="14" t="s">
        <v>72</v>
      </c>
      <c r="V27" s="14"/>
    </row>
    <row r="28" customFormat="false" ht="26.85" hidden="false" customHeight="false" outlineLevel="0" collapsed="false">
      <c r="A28" s="10" t="s">
        <v>177</v>
      </c>
      <c r="B28" s="10" t="s">
        <v>60</v>
      </c>
      <c r="C28" s="10" t="s">
        <v>83</v>
      </c>
      <c r="D28" s="10" t="s">
        <v>178</v>
      </c>
      <c r="E28" s="10" t="s">
        <v>63</v>
      </c>
      <c r="F28" s="10" t="s">
        <v>109</v>
      </c>
      <c r="G28" s="10" t="s">
        <v>16</v>
      </c>
      <c r="H28" s="9" t="n">
        <v>-3064524.83</v>
      </c>
      <c r="I28" s="9" t="n">
        <v>-3077669.06</v>
      </c>
      <c r="J28" s="9" t="n">
        <v>-13144.23</v>
      </c>
      <c r="K28" s="9" t="n">
        <v>-13144.23</v>
      </c>
      <c r="L28" s="10" t="s">
        <v>66</v>
      </c>
      <c r="M28" s="10" t="s">
        <v>66</v>
      </c>
      <c r="N28" s="10" t="n">
        <v>4</v>
      </c>
      <c r="O28" s="10" t="s">
        <v>67</v>
      </c>
      <c r="P28" s="10" t="s">
        <v>158</v>
      </c>
      <c r="Q28" s="10" t="s">
        <v>142</v>
      </c>
      <c r="R28" s="13" t="s">
        <v>143</v>
      </c>
      <c r="S28" s="13" t="s">
        <v>144</v>
      </c>
      <c r="T28" s="14"/>
      <c r="U28" s="14" t="s">
        <v>72</v>
      </c>
      <c r="V28" s="14"/>
    </row>
    <row r="29" customFormat="false" ht="26.85" hidden="false" customHeight="false" outlineLevel="0" collapsed="false">
      <c r="A29" s="10" t="s">
        <v>179</v>
      </c>
      <c r="B29" s="10" t="s">
        <v>60</v>
      </c>
      <c r="C29" s="10" t="s">
        <v>93</v>
      </c>
      <c r="D29" s="10" t="s">
        <v>180</v>
      </c>
      <c r="E29" s="10" t="s">
        <v>63</v>
      </c>
      <c r="F29" s="10" t="s">
        <v>109</v>
      </c>
      <c r="G29" s="10" t="s">
        <v>19</v>
      </c>
      <c r="H29" s="10"/>
      <c r="I29" s="9" t="n">
        <v>-88263.04</v>
      </c>
      <c r="J29" s="9" t="n">
        <v>-88263.04</v>
      </c>
      <c r="K29" s="9" t="n">
        <v>-88263.04</v>
      </c>
      <c r="L29" s="10"/>
      <c r="M29" s="10" t="s">
        <v>119</v>
      </c>
      <c r="N29" s="10" t="n">
        <v>1</v>
      </c>
      <c r="O29" s="10" t="s">
        <v>78</v>
      </c>
      <c r="P29" s="10" t="s">
        <v>181</v>
      </c>
      <c r="Q29" s="10" t="s">
        <v>182</v>
      </c>
      <c r="R29" s="13" t="s">
        <v>183</v>
      </c>
      <c r="S29" s="13" t="s">
        <v>184</v>
      </c>
      <c r="T29" s="14"/>
      <c r="U29" s="14" t="s">
        <v>72</v>
      </c>
      <c r="V29" s="14"/>
    </row>
    <row r="30" customFormat="false" ht="26.85" hidden="false" customHeight="false" outlineLevel="0" collapsed="false">
      <c r="A30" s="10" t="s">
        <v>185</v>
      </c>
      <c r="B30" s="10" t="s">
        <v>74</v>
      </c>
      <c r="C30" s="10" t="s">
        <v>61</v>
      </c>
      <c r="D30" s="10" t="s">
        <v>186</v>
      </c>
      <c r="E30" s="10" t="s">
        <v>187</v>
      </c>
      <c r="F30" s="10" t="s">
        <v>109</v>
      </c>
      <c r="G30" s="10" t="s">
        <v>23</v>
      </c>
      <c r="H30" s="6" t="n">
        <v>16100</v>
      </c>
      <c r="I30" s="6" t="n">
        <v>16002</v>
      </c>
      <c r="J30" s="6" t="n">
        <v>-98</v>
      </c>
      <c r="K30" s="9" t="n">
        <v>-84843.5</v>
      </c>
      <c r="L30" s="10" t="s">
        <v>77</v>
      </c>
      <c r="M30" s="10" t="s">
        <v>77</v>
      </c>
      <c r="N30" s="10" t="n">
        <v>0</v>
      </c>
      <c r="O30" s="10" t="s">
        <v>78</v>
      </c>
      <c r="P30" s="10" t="s">
        <v>181</v>
      </c>
      <c r="Q30" s="10" t="s">
        <v>172</v>
      </c>
      <c r="R30" s="13" t="s">
        <v>173</v>
      </c>
      <c r="S30" s="13" t="s">
        <v>174</v>
      </c>
      <c r="T30" s="14"/>
      <c r="U30" s="14" t="s">
        <v>72</v>
      </c>
      <c r="V30" s="14"/>
    </row>
    <row r="31" customFormat="false" ht="26.85" hidden="false" customHeight="false" outlineLevel="0" collapsed="false">
      <c r="A31" s="10" t="s">
        <v>188</v>
      </c>
      <c r="B31" s="10" t="s">
        <v>60</v>
      </c>
      <c r="C31" s="10" t="s">
        <v>93</v>
      </c>
      <c r="D31" s="10" t="s">
        <v>189</v>
      </c>
      <c r="E31" s="10" t="s">
        <v>157</v>
      </c>
      <c r="F31" s="10" t="s">
        <v>109</v>
      </c>
      <c r="G31" s="10" t="s">
        <v>16</v>
      </c>
      <c r="H31" s="9" t="n">
        <v>116001.21</v>
      </c>
      <c r="I31" s="9" t="n">
        <v>92800.97</v>
      </c>
      <c r="J31" s="9" t="n">
        <v>-23200.24</v>
      </c>
      <c r="K31" s="9" t="n">
        <v>-23200.24</v>
      </c>
      <c r="L31" s="10" t="s">
        <v>119</v>
      </c>
      <c r="M31" s="10" t="s">
        <v>119</v>
      </c>
      <c r="N31" s="10" t="n">
        <v>1</v>
      </c>
      <c r="O31" s="10" t="s">
        <v>78</v>
      </c>
      <c r="P31" s="10" t="s">
        <v>181</v>
      </c>
      <c r="Q31" s="10" t="s">
        <v>190</v>
      </c>
      <c r="R31" s="13" t="s">
        <v>191</v>
      </c>
      <c r="S31" s="13" t="s">
        <v>192</v>
      </c>
      <c r="T31" s="14"/>
      <c r="U31" s="14" t="s">
        <v>72</v>
      </c>
      <c r="V31" s="14"/>
    </row>
    <row r="32" customFormat="false" ht="26.85" hidden="false" customHeight="false" outlineLevel="0" collapsed="false">
      <c r="A32" s="10" t="s">
        <v>193</v>
      </c>
      <c r="B32" s="10" t="s">
        <v>60</v>
      </c>
      <c r="C32" s="10" t="s">
        <v>61</v>
      </c>
      <c r="D32" s="10" t="s">
        <v>194</v>
      </c>
      <c r="E32" s="10" t="s">
        <v>157</v>
      </c>
      <c r="F32" s="10" t="s">
        <v>109</v>
      </c>
      <c r="G32" s="10" t="s">
        <v>16</v>
      </c>
      <c r="H32" s="9" t="n">
        <v>179064.86</v>
      </c>
      <c r="I32" s="9" t="n">
        <v>161158.37</v>
      </c>
      <c r="J32" s="9" t="n">
        <v>-17906.49</v>
      </c>
      <c r="K32" s="9" t="n">
        <v>-17906.49</v>
      </c>
      <c r="L32" s="10" t="s">
        <v>95</v>
      </c>
      <c r="M32" s="10" t="s">
        <v>95</v>
      </c>
      <c r="N32" s="10" t="n">
        <v>2</v>
      </c>
      <c r="O32" s="10" t="s">
        <v>96</v>
      </c>
      <c r="P32" s="10" t="s">
        <v>181</v>
      </c>
      <c r="Q32" s="10" t="s">
        <v>190</v>
      </c>
      <c r="R32" s="13" t="s">
        <v>191</v>
      </c>
      <c r="S32" s="13" t="s">
        <v>192</v>
      </c>
      <c r="T32" s="14"/>
      <c r="U32" s="14" t="s">
        <v>72</v>
      </c>
      <c r="V32" s="14"/>
    </row>
    <row r="33" customFormat="false" ht="26.85" hidden="false" customHeight="false" outlineLevel="0" collapsed="false">
      <c r="A33" s="10" t="s">
        <v>195</v>
      </c>
      <c r="B33" s="10" t="s">
        <v>74</v>
      </c>
      <c r="C33" s="10" t="s">
        <v>61</v>
      </c>
      <c r="D33" s="10" t="s">
        <v>196</v>
      </c>
      <c r="E33" s="10" t="s">
        <v>197</v>
      </c>
      <c r="F33" s="10" t="s">
        <v>109</v>
      </c>
      <c r="G33" s="10" t="s">
        <v>23</v>
      </c>
      <c r="H33" s="6" t="n">
        <v>37700</v>
      </c>
      <c r="I33" s="6" t="n">
        <v>37745</v>
      </c>
      <c r="J33" s="6" t="n">
        <v>45</v>
      </c>
      <c r="K33" s="9" t="n">
        <v>15394.5</v>
      </c>
      <c r="L33" s="10" t="s">
        <v>77</v>
      </c>
      <c r="M33" s="10" t="s">
        <v>77</v>
      </c>
      <c r="N33" s="10" t="n">
        <v>0</v>
      </c>
      <c r="O33" s="10" t="s">
        <v>78</v>
      </c>
      <c r="P33" s="10" t="s">
        <v>181</v>
      </c>
      <c r="Q33" s="10" t="s">
        <v>172</v>
      </c>
      <c r="R33" s="13" t="s">
        <v>173</v>
      </c>
      <c r="S33" s="13" t="s">
        <v>174</v>
      </c>
      <c r="T33" s="14"/>
      <c r="U33" s="14" t="s">
        <v>72</v>
      </c>
      <c r="V33" s="14"/>
    </row>
    <row r="34" customFormat="false" ht="26.85" hidden="false" customHeight="false" outlineLevel="0" collapsed="false">
      <c r="A34" s="10" t="s">
        <v>198</v>
      </c>
      <c r="B34" s="10" t="s">
        <v>60</v>
      </c>
      <c r="C34" s="10" t="s">
        <v>111</v>
      </c>
      <c r="D34" s="10" t="s">
        <v>199</v>
      </c>
      <c r="E34" s="10" t="s">
        <v>200</v>
      </c>
      <c r="F34" s="10" t="s">
        <v>109</v>
      </c>
      <c r="G34" s="10" t="s">
        <v>16</v>
      </c>
      <c r="H34" s="9" t="n">
        <v>-2622601.85</v>
      </c>
      <c r="I34" s="9" t="n">
        <v>-2610532.44</v>
      </c>
      <c r="J34" s="9" t="n">
        <v>12069.41</v>
      </c>
      <c r="K34" s="9" t="n">
        <v>12069.41</v>
      </c>
      <c r="L34" s="10" t="s">
        <v>77</v>
      </c>
      <c r="M34" s="10" t="s">
        <v>77</v>
      </c>
      <c r="N34" s="10" t="n">
        <v>0</v>
      </c>
      <c r="O34" s="10" t="s">
        <v>78</v>
      </c>
      <c r="P34" s="10" t="s">
        <v>181</v>
      </c>
      <c r="Q34" s="10" t="s">
        <v>201</v>
      </c>
      <c r="R34" s="13" t="s">
        <v>202</v>
      </c>
      <c r="S34" s="13" t="s">
        <v>203</v>
      </c>
      <c r="T34" s="14"/>
      <c r="U34" s="14" t="s">
        <v>72</v>
      </c>
      <c r="V34" s="14"/>
    </row>
    <row r="35" customFormat="false" ht="26.85" hidden="false" customHeight="false" outlineLevel="0" collapsed="false">
      <c r="A35" s="10" t="s">
        <v>204</v>
      </c>
      <c r="B35" s="10" t="s">
        <v>60</v>
      </c>
      <c r="C35" s="10" t="s">
        <v>61</v>
      </c>
      <c r="D35" s="10" t="s">
        <v>205</v>
      </c>
      <c r="E35" s="10" t="s">
        <v>151</v>
      </c>
      <c r="F35" s="10" t="s">
        <v>109</v>
      </c>
      <c r="G35" s="10" t="s">
        <v>19</v>
      </c>
      <c r="H35" s="10"/>
      <c r="I35" s="9" t="n">
        <v>-6023.31</v>
      </c>
      <c r="J35" s="9" t="n">
        <v>-6023.31</v>
      </c>
      <c r="K35" s="9" t="n">
        <v>-6023.31</v>
      </c>
      <c r="L35" s="10"/>
      <c r="M35" s="10" t="s">
        <v>95</v>
      </c>
      <c r="N35" s="10" t="n">
        <v>2</v>
      </c>
      <c r="O35" s="10" t="s">
        <v>96</v>
      </c>
      <c r="P35" s="10" t="s">
        <v>181</v>
      </c>
      <c r="Q35" s="10" t="s">
        <v>152</v>
      </c>
      <c r="R35" s="13" t="s">
        <v>153</v>
      </c>
      <c r="S35" s="13" t="s">
        <v>154</v>
      </c>
      <c r="T35" s="14"/>
      <c r="U35" s="14" t="s">
        <v>72</v>
      </c>
      <c r="V35" s="14"/>
    </row>
    <row r="36" customFormat="false" ht="26.85" hidden="false" customHeight="false" outlineLevel="0" collapsed="false">
      <c r="A36" s="10" t="s">
        <v>206</v>
      </c>
      <c r="B36" s="10" t="s">
        <v>60</v>
      </c>
      <c r="C36" s="10" t="s">
        <v>111</v>
      </c>
      <c r="D36" s="10" t="s">
        <v>207</v>
      </c>
      <c r="E36" s="10" t="s">
        <v>200</v>
      </c>
      <c r="F36" s="10" t="s">
        <v>109</v>
      </c>
      <c r="G36" s="10" t="s">
        <v>16</v>
      </c>
      <c r="H36" s="9" t="n">
        <v>-892484.13</v>
      </c>
      <c r="I36" s="9" t="n">
        <v>-889426.89</v>
      </c>
      <c r="J36" s="9" t="n">
        <v>3057.24</v>
      </c>
      <c r="K36" s="9" t="n">
        <v>3057.24</v>
      </c>
      <c r="L36" s="10" t="s">
        <v>77</v>
      </c>
      <c r="M36" s="10" t="s">
        <v>77</v>
      </c>
      <c r="N36" s="10" t="n">
        <v>0</v>
      </c>
      <c r="O36" s="10" t="s">
        <v>78</v>
      </c>
      <c r="P36" s="10" t="s">
        <v>181</v>
      </c>
      <c r="Q36" s="10" t="s">
        <v>201</v>
      </c>
      <c r="R36" s="13" t="s">
        <v>202</v>
      </c>
      <c r="S36" s="13" t="s">
        <v>203</v>
      </c>
      <c r="T36" s="14"/>
      <c r="U36" s="14" t="s">
        <v>72</v>
      </c>
      <c r="V36" s="14"/>
    </row>
  </sheetData>
  <autoFilter ref="A1:V36"/>
  <conditionalFormatting sqref="P2:P36">
    <cfRule type="cellIs" priority="2" operator="equal" aboveAverage="0" equalAverage="0" bottom="0" percent="0" rank="0" text="" dxfId="1">
      <formula>"HIGH"</formula>
    </cfRule>
    <cfRule type="cellIs" priority="3" operator="equal" aboveAverage="0" equalAverage="0" bottom="0" percent="0" rank="0" text="" dxfId="8">
      <formula>"MEDIUM"</formula>
    </cfRule>
  </conditionalFormatting>
  <dataValidations count="1">
    <dataValidation allowBlank="false" errorStyle="stop" operator="between" showDropDown="false" showErrorMessage="false" showInputMessage="false" sqref="U2:U36" type="list">
      <formula1>"OPEN,IN PROGRESS,ESCALATED,RESOLVED"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208</v>
      </c>
    </row>
    <row r="3" customFormat="false" ht="15" hidden="false" customHeight="false" outlineLevel="0" collapsed="false">
      <c r="A3" s="15" t="s">
        <v>209</v>
      </c>
      <c r="B3" s="15" t="s">
        <v>68</v>
      </c>
      <c r="C3" s="15" t="s">
        <v>158</v>
      </c>
      <c r="D3" s="15" t="s">
        <v>181</v>
      </c>
      <c r="E3" s="15" t="s">
        <v>210</v>
      </c>
      <c r="F3" s="15" t="s">
        <v>15</v>
      </c>
    </row>
    <row r="4" customFormat="false" ht="15" hidden="false" customHeight="false" outlineLevel="0" collapsed="false">
      <c r="A4" s="6" t="s">
        <v>78</v>
      </c>
      <c r="B4" s="6" t="n">
        <f aca="false">COUNTIFS(Breaks!$O$2:$O$36,$A4,Breaks!$P$2:$P$36,"HIGH")</f>
        <v>8</v>
      </c>
      <c r="C4" s="6" t="n">
        <f aca="false">COUNTIFS(Breaks!$O$2:$O$36,$A4,Breaks!$P$2:$P$36,"MEDIUM")</f>
        <v>4</v>
      </c>
      <c r="D4" s="6" t="n">
        <f aca="false">COUNTIFS(Breaks!$O$2:$O$36,$A4,Breaks!$P$2:$P$36,"LOW")</f>
        <v>6</v>
      </c>
      <c r="E4" s="6" t="n">
        <f aca="false">SUM(B4:D4)</f>
        <v>18</v>
      </c>
      <c r="F4" s="9" t="n">
        <f aca="false">SUMPRODUCT((Breaks!$O$2:$O$36=$A4)*ABS(Breaks!$K$2:$K$36))</f>
        <v>612753556.2</v>
      </c>
    </row>
    <row r="5" customFormat="false" ht="15" hidden="false" customHeight="false" outlineLevel="0" collapsed="false">
      <c r="A5" s="6" t="s">
        <v>96</v>
      </c>
      <c r="B5" s="6" t="n">
        <f aca="false">COUNTIFS(Breaks!$O$2:$O$36,$A5,Breaks!$P$2:$P$36,"HIGH")</f>
        <v>3</v>
      </c>
      <c r="C5" s="6" t="n">
        <f aca="false">COUNTIFS(Breaks!$O$2:$O$36,$A5,Breaks!$P$2:$P$36,"MEDIUM")</f>
        <v>1</v>
      </c>
      <c r="D5" s="6" t="n">
        <f aca="false">COUNTIFS(Breaks!$O$2:$O$36,$A5,Breaks!$P$2:$P$36,"LOW")</f>
        <v>2</v>
      </c>
      <c r="E5" s="6" t="n">
        <f aca="false">SUM(B5:D5)</f>
        <v>6</v>
      </c>
      <c r="F5" s="9" t="n">
        <f aca="false">SUMPRODUCT((Breaks!$O$2:$O$36=$A5)*ABS(Breaks!$K$2:$K$36))</f>
        <v>124760682.2</v>
      </c>
    </row>
    <row r="6" customFormat="false" ht="15" hidden="false" customHeight="false" outlineLevel="0" collapsed="false">
      <c r="A6" s="6" t="s">
        <v>67</v>
      </c>
      <c r="B6" s="6" t="n">
        <f aca="false">COUNTIFS(Breaks!$O$2:$O$36,$A6,Breaks!$P$2:$P$36,"HIGH")</f>
        <v>10</v>
      </c>
      <c r="C6" s="6" t="n">
        <f aca="false">COUNTIFS(Breaks!$O$2:$O$36,$A6,Breaks!$P$2:$P$36,"MEDIUM")</f>
        <v>1</v>
      </c>
      <c r="D6" s="6" t="n">
        <f aca="false">COUNTIFS(Breaks!$O$2:$O$36,$A6,Breaks!$P$2:$P$36,"LOW")</f>
        <v>0</v>
      </c>
      <c r="E6" s="6" t="n">
        <f aca="false">SUM(B6:D6)</f>
        <v>11</v>
      </c>
      <c r="F6" s="9" t="n">
        <f aca="false">SUMPRODUCT((Breaks!$O$2:$O$36=$A6)*ABS(Breaks!$K$2:$K$36))</f>
        <v>490209487.31</v>
      </c>
    </row>
    <row r="7" customFormat="false" ht="15" hidden="false" customHeight="false" outlineLevel="0" collapsed="false">
      <c r="A7" s="6" t="s">
        <v>211</v>
      </c>
      <c r="B7" s="6" t="n">
        <f aca="false">COUNTIFS(Breaks!$O$2:$O$36,$A7,Breaks!$P$2:$P$36,"HIGH")</f>
        <v>0</v>
      </c>
      <c r="C7" s="6" t="n">
        <f aca="false">COUNTIFS(Breaks!$O$2:$O$36,$A7,Breaks!$P$2:$P$36,"MEDIUM")</f>
        <v>0</v>
      </c>
      <c r="D7" s="6" t="n">
        <f aca="false">COUNTIFS(Breaks!$O$2:$O$36,$A7,Breaks!$P$2:$P$36,"LOW")</f>
        <v>0</v>
      </c>
      <c r="E7" s="6" t="n">
        <f aca="false">SUM(B7:D7)</f>
        <v>0</v>
      </c>
      <c r="F7" s="9" t="n">
        <f aca="false">SUMPRODUCT((Breaks!$O$2:$O$36=$A7)*ABS(Breaks!$K$2:$K$36))</f>
        <v>0</v>
      </c>
    </row>
    <row r="8" customFormat="false" ht="15" hidden="false" customHeight="false" outlineLevel="0" collapsed="false">
      <c r="A8" s="16" t="s">
        <v>210</v>
      </c>
      <c r="B8" s="16" t="n">
        <f aca="false">SUM(B4:B7)</f>
        <v>21</v>
      </c>
      <c r="C8" s="16" t="n">
        <f aca="false">SUM(C4:C7)</f>
        <v>6</v>
      </c>
      <c r="D8" s="16" t="n">
        <f aca="false">SUM(D4:D7)</f>
        <v>8</v>
      </c>
      <c r="E8" s="16" t="n">
        <f aca="false">SUM(E4:E7)</f>
        <v>35</v>
      </c>
      <c r="F8" s="17" t="n">
        <f aca="false">SUM(F4:F7)</f>
        <v>1227723725.71</v>
      </c>
    </row>
    <row r="10" customFormat="false" ht="15" hidden="false" customHeight="false" outlineLevel="0" collapsed="false">
      <c r="A10" s="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7" min="6" style="0" width="15"/>
    <col collapsed="false" customWidth="true" hidden="false" outlineLevel="0" max="8" min="8" style="0" width="2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44</v>
      </c>
      <c r="G1" s="12" t="s">
        <v>45</v>
      </c>
      <c r="H1" s="12" t="s">
        <v>213</v>
      </c>
      <c r="I1" s="12" t="s">
        <v>46</v>
      </c>
      <c r="J1" s="12" t="s">
        <v>48</v>
      </c>
      <c r="K1" s="12" t="s">
        <v>49</v>
      </c>
    </row>
    <row r="2" customFormat="false" ht="15" hidden="false" customHeight="false" outlineLevel="0" collapsed="false">
      <c r="A2" s="10" t="s">
        <v>60</v>
      </c>
      <c r="B2" s="10" t="s">
        <v>93</v>
      </c>
      <c r="C2" s="10" t="s">
        <v>214</v>
      </c>
      <c r="D2" s="10" t="s">
        <v>151</v>
      </c>
      <c r="E2" s="10" t="s">
        <v>64</v>
      </c>
      <c r="F2" s="9" t="n">
        <v>-12735.43</v>
      </c>
      <c r="G2" s="9" t="n">
        <v>-12735.43</v>
      </c>
      <c r="H2" s="10" t="s">
        <v>215</v>
      </c>
      <c r="I2" s="9" t="n">
        <v>0</v>
      </c>
      <c r="J2" s="10" t="s">
        <v>216</v>
      </c>
      <c r="K2" s="10" t="s">
        <v>216</v>
      </c>
    </row>
    <row r="3" customFormat="false" ht="15" hidden="false" customHeight="false" outlineLevel="0" collapsed="false">
      <c r="A3" s="10" t="s">
        <v>60</v>
      </c>
      <c r="B3" s="10" t="s">
        <v>89</v>
      </c>
      <c r="C3" s="10" t="s">
        <v>217</v>
      </c>
      <c r="D3" s="10" t="s">
        <v>63</v>
      </c>
      <c r="E3" s="10" t="s">
        <v>109</v>
      </c>
      <c r="F3" s="9" t="n">
        <v>-1370688.26</v>
      </c>
      <c r="G3" s="9" t="n">
        <v>-1370688.26</v>
      </c>
      <c r="H3" s="10" t="s">
        <v>215</v>
      </c>
      <c r="I3" s="9" t="n">
        <v>0</v>
      </c>
      <c r="J3" s="10" t="s">
        <v>218</v>
      </c>
      <c r="K3" s="10" t="s">
        <v>218</v>
      </c>
    </row>
    <row r="4" customFormat="false" ht="15" hidden="false" customHeight="false" outlineLevel="0" collapsed="false">
      <c r="A4" s="10" t="s">
        <v>60</v>
      </c>
      <c r="B4" s="10" t="s">
        <v>83</v>
      </c>
      <c r="C4" s="10" t="s">
        <v>219</v>
      </c>
      <c r="D4" s="10" t="s">
        <v>151</v>
      </c>
      <c r="E4" s="10" t="s">
        <v>109</v>
      </c>
      <c r="F4" s="9" t="n">
        <v>-10020.47</v>
      </c>
      <c r="G4" s="9" t="n">
        <v>-10020.47</v>
      </c>
      <c r="H4" s="10" t="s">
        <v>215</v>
      </c>
      <c r="I4" s="9" t="n">
        <v>0</v>
      </c>
      <c r="J4" s="10" t="s">
        <v>220</v>
      </c>
      <c r="K4" s="10" t="s">
        <v>220</v>
      </c>
    </row>
    <row r="5" customFormat="false" ht="15" hidden="false" customHeight="false" outlineLevel="0" collapsed="false">
      <c r="A5" s="10" t="s">
        <v>60</v>
      </c>
      <c r="B5" s="10" t="s">
        <v>93</v>
      </c>
      <c r="C5" s="10" t="s">
        <v>221</v>
      </c>
      <c r="D5" s="10" t="s">
        <v>164</v>
      </c>
      <c r="E5" s="10" t="s">
        <v>109</v>
      </c>
      <c r="F5" s="9" t="n">
        <v>206181.92</v>
      </c>
      <c r="G5" s="9" t="n">
        <v>206181.92</v>
      </c>
      <c r="H5" s="10" t="s">
        <v>215</v>
      </c>
      <c r="I5" s="9" t="n">
        <v>0</v>
      </c>
      <c r="J5" s="10" t="s">
        <v>95</v>
      </c>
      <c r="K5" s="10" t="s">
        <v>95</v>
      </c>
    </row>
    <row r="6" customFormat="false" ht="15" hidden="false" customHeight="false" outlineLevel="0" collapsed="false">
      <c r="A6" s="10" t="s">
        <v>60</v>
      </c>
      <c r="B6" s="10" t="s">
        <v>83</v>
      </c>
      <c r="C6" s="10" t="s">
        <v>222</v>
      </c>
      <c r="D6" s="10" t="s">
        <v>63</v>
      </c>
      <c r="E6" s="10" t="s">
        <v>109</v>
      </c>
      <c r="F6" s="9" t="n">
        <v>-4432798.23</v>
      </c>
      <c r="G6" s="9" t="n">
        <v>-4432798.23</v>
      </c>
      <c r="H6" s="10" t="s">
        <v>215</v>
      </c>
      <c r="I6" s="9" t="n">
        <v>0</v>
      </c>
      <c r="J6" s="10" t="s">
        <v>223</v>
      </c>
      <c r="K6" s="10" t="s">
        <v>223</v>
      </c>
    </row>
    <row r="7" customFormat="false" ht="15" hidden="false" customHeight="false" outlineLevel="0" collapsed="false">
      <c r="A7" s="10" t="s">
        <v>60</v>
      </c>
      <c r="B7" s="10" t="s">
        <v>61</v>
      </c>
      <c r="C7" s="10" t="s">
        <v>224</v>
      </c>
      <c r="D7" s="10" t="s">
        <v>63</v>
      </c>
      <c r="E7" s="10" t="s">
        <v>64</v>
      </c>
      <c r="F7" s="9" t="n">
        <v>2995467.98</v>
      </c>
      <c r="G7" s="9" t="n">
        <v>2995467.98</v>
      </c>
      <c r="H7" s="10" t="s">
        <v>215</v>
      </c>
      <c r="I7" s="9" t="n">
        <v>0</v>
      </c>
      <c r="J7" s="10" t="s">
        <v>119</v>
      </c>
      <c r="K7" s="10" t="s">
        <v>119</v>
      </c>
    </row>
    <row r="8" customFormat="false" ht="15" hidden="false" customHeight="false" outlineLevel="0" collapsed="false">
      <c r="A8" s="10" t="s">
        <v>60</v>
      </c>
      <c r="B8" s="10" t="s">
        <v>61</v>
      </c>
      <c r="C8" s="10" t="s">
        <v>225</v>
      </c>
      <c r="D8" s="10" t="s">
        <v>200</v>
      </c>
      <c r="E8" s="10" t="s">
        <v>109</v>
      </c>
      <c r="F8" s="9" t="n">
        <v>-2589920.43</v>
      </c>
      <c r="G8" s="9" t="n">
        <v>-2589920.43</v>
      </c>
      <c r="H8" s="10" t="s">
        <v>215</v>
      </c>
      <c r="I8" s="9" t="n">
        <v>0</v>
      </c>
      <c r="J8" s="10" t="s">
        <v>226</v>
      </c>
      <c r="K8" s="10" t="s">
        <v>226</v>
      </c>
    </row>
    <row r="9" customFormat="false" ht="15" hidden="false" customHeight="false" outlineLevel="0" collapsed="false">
      <c r="A9" s="10" t="s">
        <v>60</v>
      </c>
      <c r="B9" s="10" t="s">
        <v>111</v>
      </c>
      <c r="C9" s="10" t="s">
        <v>227</v>
      </c>
      <c r="D9" s="10" t="s">
        <v>63</v>
      </c>
      <c r="E9" s="10" t="s">
        <v>109</v>
      </c>
      <c r="F9" s="9" t="n">
        <v>4333039.94</v>
      </c>
      <c r="G9" s="9" t="n">
        <v>4333039.94</v>
      </c>
      <c r="H9" s="10" t="s">
        <v>215</v>
      </c>
      <c r="I9" s="9" t="n">
        <v>0</v>
      </c>
      <c r="J9" s="10" t="s">
        <v>228</v>
      </c>
      <c r="K9" s="10" t="s">
        <v>228</v>
      </c>
    </row>
    <row r="10" customFormat="false" ht="15" hidden="false" customHeight="false" outlineLevel="0" collapsed="false">
      <c r="A10" s="10" t="s">
        <v>60</v>
      </c>
      <c r="B10" s="10" t="s">
        <v>111</v>
      </c>
      <c r="C10" s="10" t="s">
        <v>229</v>
      </c>
      <c r="D10" s="10" t="s">
        <v>151</v>
      </c>
      <c r="E10" s="10" t="s">
        <v>109</v>
      </c>
      <c r="F10" s="9" t="n">
        <v>-4201.27</v>
      </c>
      <c r="G10" s="9" t="n">
        <v>-4201.27</v>
      </c>
      <c r="H10" s="10" t="s">
        <v>215</v>
      </c>
      <c r="I10" s="9" t="n">
        <v>0</v>
      </c>
      <c r="J10" s="10" t="s">
        <v>119</v>
      </c>
      <c r="K10" s="10" t="s">
        <v>119</v>
      </c>
    </row>
    <row r="11" customFormat="false" ht="15" hidden="false" customHeight="false" outlineLevel="0" collapsed="false">
      <c r="A11" s="10" t="s">
        <v>60</v>
      </c>
      <c r="B11" s="10" t="s">
        <v>89</v>
      </c>
      <c r="C11" s="10" t="s">
        <v>230</v>
      </c>
      <c r="D11" s="10" t="s">
        <v>164</v>
      </c>
      <c r="E11" s="10" t="s">
        <v>109</v>
      </c>
      <c r="F11" s="9" t="n">
        <v>160270.27</v>
      </c>
      <c r="G11" s="9" t="n">
        <v>160270.27</v>
      </c>
      <c r="H11" s="10" t="s">
        <v>215</v>
      </c>
      <c r="I11" s="9" t="n">
        <v>0</v>
      </c>
      <c r="J11" s="10" t="s">
        <v>231</v>
      </c>
      <c r="K11" s="10" t="s">
        <v>231</v>
      </c>
    </row>
    <row r="12" customFormat="false" ht="15" hidden="false" customHeight="false" outlineLevel="0" collapsed="false">
      <c r="A12" s="10" t="s">
        <v>60</v>
      </c>
      <c r="B12" s="10" t="s">
        <v>111</v>
      </c>
      <c r="C12" s="10" t="s">
        <v>118</v>
      </c>
      <c r="D12" s="10" t="s">
        <v>63</v>
      </c>
      <c r="E12" s="10" t="s">
        <v>109</v>
      </c>
      <c r="F12" s="9" t="n">
        <v>-4422543.81</v>
      </c>
      <c r="G12" s="10"/>
      <c r="H12" s="10" t="s">
        <v>18</v>
      </c>
      <c r="I12" s="9" t="n">
        <v>-4422543.81</v>
      </c>
      <c r="J12" s="10" t="s">
        <v>119</v>
      </c>
      <c r="K12" s="10"/>
    </row>
    <row r="13" customFormat="false" ht="15" hidden="false" customHeight="false" outlineLevel="0" collapsed="false">
      <c r="A13" s="10" t="s">
        <v>60</v>
      </c>
      <c r="B13" s="10" t="s">
        <v>61</v>
      </c>
      <c r="C13" s="10" t="s">
        <v>232</v>
      </c>
      <c r="D13" s="10" t="s">
        <v>157</v>
      </c>
      <c r="E13" s="10" t="s">
        <v>109</v>
      </c>
      <c r="F13" s="9" t="n">
        <v>306391.48</v>
      </c>
      <c r="G13" s="9" t="n">
        <v>306391.48</v>
      </c>
      <c r="H13" s="10" t="s">
        <v>215</v>
      </c>
      <c r="I13" s="9" t="n">
        <v>0</v>
      </c>
      <c r="J13" s="10" t="s">
        <v>77</v>
      </c>
      <c r="K13" s="10" t="s">
        <v>77</v>
      </c>
    </row>
    <row r="14" customFormat="false" ht="15" hidden="false" customHeight="false" outlineLevel="0" collapsed="false">
      <c r="A14" s="10" t="s">
        <v>60</v>
      </c>
      <c r="B14" s="10" t="s">
        <v>83</v>
      </c>
      <c r="C14" s="10" t="s">
        <v>233</v>
      </c>
      <c r="D14" s="10" t="s">
        <v>157</v>
      </c>
      <c r="E14" s="10" t="s">
        <v>109</v>
      </c>
      <c r="F14" s="9" t="n">
        <v>278199.12</v>
      </c>
      <c r="G14" s="9" t="n">
        <v>278199.12</v>
      </c>
      <c r="H14" s="10" t="s">
        <v>215</v>
      </c>
      <c r="I14" s="9" t="n">
        <v>0</v>
      </c>
      <c r="J14" s="10" t="s">
        <v>234</v>
      </c>
      <c r="K14" s="10" t="s">
        <v>234</v>
      </c>
    </row>
    <row r="15" customFormat="false" ht="15" hidden="false" customHeight="false" outlineLevel="0" collapsed="false">
      <c r="A15" s="10" t="s">
        <v>60</v>
      </c>
      <c r="B15" s="10" t="s">
        <v>89</v>
      </c>
      <c r="C15" s="10" t="s">
        <v>235</v>
      </c>
      <c r="D15" s="10" t="s">
        <v>63</v>
      </c>
      <c r="E15" s="10" t="s">
        <v>109</v>
      </c>
      <c r="F15" s="9" t="n">
        <v>-2373978.47</v>
      </c>
      <c r="G15" s="9" t="n">
        <v>-2373978.47</v>
      </c>
      <c r="H15" s="10" t="s">
        <v>215</v>
      </c>
      <c r="I15" s="9" t="n">
        <v>0</v>
      </c>
      <c r="J15" s="10" t="s">
        <v>216</v>
      </c>
      <c r="K15" s="10" t="s">
        <v>216</v>
      </c>
    </row>
    <row r="16" customFormat="false" ht="15" hidden="false" customHeight="false" outlineLevel="0" collapsed="false">
      <c r="A16" s="10" t="s">
        <v>60</v>
      </c>
      <c r="B16" s="10" t="s">
        <v>83</v>
      </c>
      <c r="C16" s="10" t="s">
        <v>236</v>
      </c>
      <c r="D16" s="10" t="s">
        <v>200</v>
      </c>
      <c r="E16" s="10" t="s">
        <v>109</v>
      </c>
      <c r="F16" s="9" t="n">
        <v>2508370.6</v>
      </c>
      <c r="G16" s="9" t="n">
        <v>2508370.6</v>
      </c>
      <c r="H16" s="10" t="s">
        <v>215</v>
      </c>
      <c r="I16" s="9" t="n">
        <v>0</v>
      </c>
      <c r="J16" s="10" t="s">
        <v>231</v>
      </c>
      <c r="K16" s="10" t="s">
        <v>231</v>
      </c>
    </row>
    <row r="17" customFormat="false" ht="15" hidden="false" customHeight="false" outlineLevel="0" collapsed="false">
      <c r="A17" s="10" t="s">
        <v>60</v>
      </c>
      <c r="B17" s="10" t="s">
        <v>83</v>
      </c>
      <c r="C17" s="10" t="s">
        <v>178</v>
      </c>
      <c r="D17" s="10" t="s">
        <v>63</v>
      </c>
      <c r="E17" s="10" t="s">
        <v>109</v>
      </c>
      <c r="F17" s="9" t="n">
        <v>-3064524.83</v>
      </c>
      <c r="G17" s="9" t="n">
        <v>-3077669.06</v>
      </c>
      <c r="H17" s="10" t="s">
        <v>16</v>
      </c>
      <c r="I17" s="9" t="n">
        <v>-13144.23</v>
      </c>
      <c r="J17" s="10" t="s">
        <v>66</v>
      </c>
      <c r="K17" s="10" t="s">
        <v>66</v>
      </c>
    </row>
    <row r="18" customFormat="false" ht="15" hidden="false" customHeight="false" outlineLevel="0" collapsed="false">
      <c r="A18" s="10" t="s">
        <v>60</v>
      </c>
      <c r="B18" s="10" t="s">
        <v>61</v>
      </c>
      <c r="C18" s="10" t="s">
        <v>237</v>
      </c>
      <c r="D18" s="10" t="s">
        <v>157</v>
      </c>
      <c r="E18" s="10" t="s">
        <v>109</v>
      </c>
      <c r="F18" s="9" t="n">
        <v>354087.8</v>
      </c>
      <c r="G18" s="9" t="n">
        <v>354087.8</v>
      </c>
      <c r="H18" s="10" t="s">
        <v>215</v>
      </c>
      <c r="I18" s="9" t="n">
        <v>0</v>
      </c>
      <c r="J18" s="10" t="s">
        <v>238</v>
      </c>
      <c r="K18" s="10" t="s">
        <v>238</v>
      </c>
    </row>
    <row r="19" customFormat="false" ht="15" hidden="false" customHeight="false" outlineLevel="0" collapsed="false">
      <c r="A19" s="10" t="s">
        <v>60</v>
      </c>
      <c r="B19" s="10" t="s">
        <v>111</v>
      </c>
      <c r="C19" s="10" t="s">
        <v>239</v>
      </c>
      <c r="D19" s="10" t="s">
        <v>157</v>
      </c>
      <c r="E19" s="10" t="s">
        <v>109</v>
      </c>
      <c r="F19" s="9" t="n">
        <v>336716.09</v>
      </c>
      <c r="G19" s="9" t="n">
        <v>336716.09</v>
      </c>
      <c r="H19" s="10" t="s">
        <v>215</v>
      </c>
      <c r="I19" s="9" t="n">
        <v>0</v>
      </c>
      <c r="J19" s="10" t="s">
        <v>223</v>
      </c>
      <c r="K19" s="10" t="s">
        <v>223</v>
      </c>
    </row>
    <row r="20" customFormat="false" ht="15" hidden="false" customHeight="false" outlineLevel="0" collapsed="false">
      <c r="A20" s="10" t="s">
        <v>60</v>
      </c>
      <c r="B20" s="10" t="s">
        <v>89</v>
      </c>
      <c r="C20" s="10" t="s">
        <v>240</v>
      </c>
      <c r="D20" s="10" t="s">
        <v>63</v>
      </c>
      <c r="E20" s="10" t="s">
        <v>64</v>
      </c>
      <c r="F20" s="9" t="n">
        <v>-1606859.93</v>
      </c>
      <c r="G20" s="9" t="n">
        <v>-1606859.93</v>
      </c>
      <c r="H20" s="10" t="s">
        <v>215</v>
      </c>
      <c r="I20" s="9" t="n">
        <v>0</v>
      </c>
      <c r="J20" s="10" t="s">
        <v>241</v>
      </c>
      <c r="K20" s="10" t="s">
        <v>241</v>
      </c>
    </row>
    <row r="21" customFormat="false" ht="15" hidden="false" customHeight="false" outlineLevel="0" collapsed="false">
      <c r="A21" s="10" t="s">
        <v>60</v>
      </c>
      <c r="B21" s="10" t="s">
        <v>89</v>
      </c>
      <c r="C21" s="10" t="s">
        <v>242</v>
      </c>
      <c r="D21" s="10" t="s">
        <v>157</v>
      </c>
      <c r="E21" s="10" t="s">
        <v>64</v>
      </c>
      <c r="F21" s="9" t="n">
        <v>298088.44</v>
      </c>
      <c r="G21" s="9" t="n">
        <v>298088.44</v>
      </c>
      <c r="H21" s="10" t="s">
        <v>215</v>
      </c>
      <c r="I21" s="9" t="n">
        <v>0</v>
      </c>
      <c r="J21" s="10" t="s">
        <v>243</v>
      </c>
      <c r="K21" s="10" t="s">
        <v>243</v>
      </c>
    </row>
    <row r="22" customFormat="false" ht="15" hidden="false" customHeight="false" outlineLevel="0" collapsed="false">
      <c r="A22" s="10" t="s">
        <v>60</v>
      </c>
      <c r="B22" s="10" t="s">
        <v>93</v>
      </c>
      <c r="C22" s="10" t="s">
        <v>244</v>
      </c>
      <c r="D22" s="10" t="s">
        <v>164</v>
      </c>
      <c r="E22" s="10" t="s">
        <v>109</v>
      </c>
      <c r="F22" s="9" t="n">
        <v>357361.99</v>
      </c>
      <c r="G22" s="9" t="n">
        <v>357361.99</v>
      </c>
      <c r="H22" s="10" t="s">
        <v>215</v>
      </c>
      <c r="I22" s="9" t="n">
        <v>0</v>
      </c>
      <c r="J22" s="10" t="s">
        <v>243</v>
      </c>
      <c r="K22" s="10" t="s">
        <v>243</v>
      </c>
    </row>
    <row r="23" customFormat="false" ht="15" hidden="false" customHeight="false" outlineLevel="0" collapsed="false">
      <c r="A23" s="10" t="s">
        <v>60</v>
      </c>
      <c r="B23" s="10" t="s">
        <v>89</v>
      </c>
      <c r="C23" s="10" t="s">
        <v>245</v>
      </c>
      <c r="D23" s="10" t="s">
        <v>157</v>
      </c>
      <c r="E23" s="10" t="s">
        <v>109</v>
      </c>
      <c r="F23" s="9" t="n">
        <v>298274.94</v>
      </c>
      <c r="G23" s="9" t="n">
        <v>298274.94</v>
      </c>
      <c r="H23" s="10" t="s">
        <v>215</v>
      </c>
      <c r="I23" s="9" t="n">
        <v>0</v>
      </c>
      <c r="J23" s="10" t="s">
        <v>223</v>
      </c>
      <c r="K23" s="10" t="s">
        <v>223</v>
      </c>
    </row>
    <row r="24" customFormat="false" ht="15" hidden="false" customHeight="false" outlineLevel="0" collapsed="false">
      <c r="A24" s="10" t="s">
        <v>60</v>
      </c>
      <c r="B24" s="10" t="s">
        <v>61</v>
      </c>
      <c r="C24" s="10" t="s">
        <v>246</v>
      </c>
      <c r="D24" s="10" t="s">
        <v>200</v>
      </c>
      <c r="E24" s="10" t="s">
        <v>109</v>
      </c>
      <c r="F24" s="9" t="n">
        <v>-1138902.61</v>
      </c>
      <c r="G24" s="9" t="n">
        <v>-1138902.61</v>
      </c>
      <c r="H24" s="10" t="s">
        <v>215</v>
      </c>
      <c r="I24" s="9" t="n">
        <v>0</v>
      </c>
      <c r="J24" s="10" t="s">
        <v>66</v>
      </c>
      <c r="K24" s="10" t="s">
        <v>66</v>
      </c>
    </row>
    <row r="25" customFormat="false" ht="15" hidden="false" customHeight="false" outlineLevel="0" collapsed="false">
      <c r="A25" s="10" t="s">
        <v>60</v>
      </c>
      <c r="B25" s="10" t="s">
        <v>89</v>
      </c>
      <c r="C25" s="10" t="s">
        <v>247</v>
      </c>
      <c r="D25" s="10" t="s">
        <v>164</v>
      </c>
      <c r="E25" s="10" t="s">
        <v>109</v>
      </c>
      <c r="F25" s="9" t="n">
        <v>30547.83</v>
      </c>
      <c r="G25" s="9" t="n">
        <v>30547.83</v>
      </c>
      <c r="H25" s="10" t="s">
        <v>215</v>
      </c>
      <c r="I25" s="9" t="n">
        <v>0</v>
      </c>
      <c r="J25" s="10" t="s">
        <v>216</v>
      </c>
      <c r="K25" s="10" t="s">
        <v>216</v>
      </c>
    </row>
    <row r="26" customFormat="false" ht="15" hidden="false" customHeight="false" outlineLevel="0" collapsed="false">
      <c r="A26" s="10" t="s">
        <v>60</v>
      </c>
      <c r="B26" s="10" t="s">
        <v>111</v>
      </c>
      <c r="C26" s="10" t="s">
        <v>248</v>
      </c>
      <c r="D26" s="10" t="s">
        <v>63</v>
      </c>
      <c r="E26" s="10" t="s">
        <v>109</v>
      </c>
      <c r="F26" s="9" t="n">
        <v>-2154437.88</v>
      </c>
      <c r="G26" s="9" t="n">
        <v>-2154437.88</v>
      </c>
      <c r="H26" s="10" t="s">
        <v>215</v>
      </c>
      <c r="I26" s="9" t="n">
        <v>0</v>
      </c>
      <c r="J26" s="10" t="s">
        <v>216</v>
      </c>
      <c r="K26" s="10" t="s">
        <v>216</v>
      </c>
    </row>
    <row r="27" customFormat="false" ht="15" hidden="false" customHeight="false" outlineLevel="0" collapsed="false">
      <c r="A27" s="10" t="s">
        <v>60</v>
      </c>
      <c r="B27" s="10" t="s">
        <v>93</v>
      </c>
      <c r="C27" s="10" t="s">
        <v>249</v>
      </c>
      <c r="D27" s="10" t="s">
        <v>63</v>
      </c>
      <c r="E27" s="10" t="s">
        <v>109</v>
      </c>
      <c r="F27" s="9" t="n">
        <v>239373.13</v>
      </c>
      <c r="G27" s="9" t="n">
        <v>239373.13</v>
      </c>
      <c r="H27" s="10" t="s">
        <v>215</v>
      </c>
      <c r="I27" s="9" t="n">
        <v>0</v>
      </c>
      <c r="J27" s="10" t="s">
        <v>228</v>
      </c>
      <c r="K27" s="10" t="s">
        <v>228</v>
      </c>
    </row>
    <row r="28" customFormat="false" ht="15" hidden="false" customHeight="false" outlineLevel="0" collapsed="false">
      <c r="A28" s="10" t="s">
        <v>60</v>
      </c>
      <c r="B28" s="10" t="s">
        <v>61</v>
      </c>
      <c r="C28" s="10" t="s">
        <v>250</v>
      </c>
      <c r="D28" s="10" t="s">
        <v>63</v>
      </c>
      <c r="E28" s="10" t="s">
        <v>109</v>
      </c>
      <c r="F28" s="9" t="n">
        <v>-1973796.86</v>
      </c>
      <c r="G28" s="9" t="n">
        <v>-1973796.86</v>
      </c>
      <c r="H28" s="10" t="s">
        <v>215</v>
      </c>
      <c r="I28" s="9" t="n">
        <v>0</v>
      </c>
      <c r="J28" s="10" t="s">
        <v>65</v>
      </c>
      <c r="K28" s="10" t="s">
        <v>65</v>
      </c>
    </row>
    <row r="29" customFormat="false" ht="15" hidden="false" customHeight="false" outlineLevel="0" collapsed="false">
      <c r="A29" s="10" t="s">
        <v>60</v>
      </c>
      <c r="B29" s="10" t="s">
        <v>89</v>
      </c>
      <c r="C29" s="10" t="s">
        <v>121</v>
      </c>
      <c r="D29" s="10" t="s">
        <v>63</v>
      </c>
      <c r="E29" s="10" t="s">
        <v>109</v>
      </c>
      <c r="F29" s="9" t="n">
        <v>2888328.42</v>
      </c>
      <c r="G29" s="9" t="n">
        <v>5776656.84</v>
      </c>
      <c r="H29" s="10" t="s">
        <v>21</v>
      </c>
      <c r="I29" s="9" t="n">
        <v>2888328.42</v>
      </c>
      <c r="J29" s="10" t="s">
        <v>77</v>
      </c>
      <c r="K29" s="10" t="s">
        <v>77</v>
      </c>
    </row>
    <row r="30" customFormat="false" ht="15" hidden="false" customHeight="false" outlineLevel="0" collapsed="false">
      <c r="A30" s="10" t="s">
        <v>60</v>
      </c>
      <c r="B30" s="10" t="s">
        <v>111</v>
      </c>
      <c r="C30" s="10" t="s">
        <v>163</v>
      </c>
      <c r="D30" s="10" t="s">
        <v>164</v>
      </c>
      <c r="E30" s="10" t="s">
        <v>109</v>
      </c>
      <c r="F30" s="9" t="n">
        <v>744620.92</v>
      </c>
      <c r="G30" s="9" t="n">
        <v>372310.46</v>
      </c>
      <c r="H30" s="10" t="s">
        <v>20</v>
      </c>
      <c r="I30" s="9" t="n">
        <v>372310.46</v>
      </c>
      <c r="J30" s="10" t="s">
        <v>77</v>
      </c>
      <c r="K30" s="10" t="s">
        <v>77</v>
      </c>
    </row>
    <row r="31" customFormat="false" ht="15" hidden="false" customHeight="false" outlineLevel="0" collapsed="false">
      <c r="A31" s="10" t="s">
        <v>60</v>
      </c>
      <c r="B31" s="10" t="s">
        <v>89</v>
      </c>
      <c r="C31" s="10" t="s">
        <v>251</v>
      </c>
      <c r="D31" s="10" t="s">
        <v>63</v>
      </c>
      <c r="E31" s="10" t="s">
        <v>109</v>
      </c>
      <c r="F31" s="9" t="n">
        <v>-300363.63</v>
      </c>
      <c r="G31" s="9" t="n">
        <v>-300363.63</v>
      </c>
      <c r="H31" s="10" t="s">
        <v>215</v>
      </c>
      <c r="I31" s="9" t="n">
        <v>0</v>
      </c>
      <c r="J31" s="10" t="s">
        <v>95</v>
      </c>
      <c r="K31" s="10" t="s">
        <v>95</v>
      </c>
    </row>
    <row r="32" customFormat="false" ht="15" hidden="false" customHeight="false" outlineLevel="0" collapsed="false">
      <c r="A32" s="10" t="s">
        <v>60</v>
      </c>
      <c r="B32" s="10" t="s">
        <v>111</v>
      </c>
      <c r="C32" s="10" t="s">
        <v>207</v>
      </c>
      <c r="D32" s="10" t="s">
        <v>200</v>
      </c>
      <c r="E32" s="10" t="s">
        <v>109</v>
      </c>
      <c r="F32" s="9" t="n">
        <v>-892484.13</v>
      </c>
      <c r="G32" s="9" t="n">
        <v>-889426.89</v>
      </c>
      <c r="H32" s="10" t="s">
        <v>16</v>
      </c>
      <c r="I32" s="9" t="n">
        <v>3057.24</v>
      </c>
      <c r="J32" s="10" t="s">
        <v>77</v>
      </c>
      <c r="K32" s="10" t="s">
        <v>77</v>
      </c>
    </row>
    <row r="33" customFormat="false" ht="15" hidden="false" customHeight="false" outlineLevel="0" collapsed="false">
      <c r="A33" s="10" t="s">
        <v>60</v>
      </c>
      <c r="B33" s="10" t="s">
        <v>93</v>
      </c>
      <c r="C33" s="10" t="s">
        <v>252</v>
      </c>
      <c r="D33" s="10" t="s">
        <v>63</v>
      </c>
      <c r="E33" s="10" t="s">
        <v>109</v>
      </c>
      <c r="F33" s="9" t="n">
        <v>1257124.02</v>
      </c>
      <c r="G33" s="9" t="n">
        <v>1257124.02</v>
      </c>
      <c r="H33" s="10" t="s">
        <v>215</v>
      </c>
      <c r="I33" s="9" t="n">
        <v>0</v>
      </c>
      <c r="J33" s="10" t="s">
        <v>95</v>
      </c>
      <c r="K33" s="10" t="s">
        <v>95</v>
      </c>
    </row>
    <row r="34" customFormat="false" ht="15" hidden="false" customHeight="false" outlineLevel="0" collapsed="false">
      <c r="A34" s="10" t="s">
        <v>60</v>
      </c>
      <c r="B34" s="10" t="s">
        <v>83</v>
      </c>
      <c r="C34" s="10" t="s">
        <v>253</v>
      </c>
      <c r="D34" s="10" t="s">
        <v>63</v>
      </c>
      <c r="E34" s="10" t="s">
        <v>64</v>
      </c>
      <c r="F34" s="9" t="n">
        <v>-1946024.7</v>
      </c>
      <c r="G34" s="9" t="n">
        <v>-1946024.7</v>
      </c>
      <c r="H34" s="10" t="s">
        <v>215</v>
      </c>
      <c r="I34" s="9" t="n">
        <v>0</v>
      </c>
      <c r="J34" s="10" t="s">
        <v>95</v>
      </c>
      <c r="K34" s="10" t="s">
        <v>95</v>
      </c>
    </row>
    <row r="35" customFormat="false" ht="15" hidden="false" customHeight="false" outlineLevel="0" collapsed="false">
      <c r="A35" s="10" t="s">
        <v>60</v>
      </c>
      <c r="B35" s="10" t="s">
        <v>83</v>
      </c>
      <c r="C35" s="10" t="s">
        <v>254</v>
      </c>
      <c r="D35" s="10" t="s">
        <v>157</v>
      </c>
      <c r="E35" s="10" t="s">
        <v>109</v>
      </c>
      <c r="F35" s="9" t="n">
        <v>453893.09</v>
      </c>
      <c r="G35" s="9" t="n">
        <v>453893.09</v>
      </c>
      <c r="H35" s="10" t="s">
        <v>215</v>
      </c>
      <c r="I35" s="9" t="n">
        <v>0</v>
      </c>
      <c r="J35" s="10" t="s">
        <v>255</v>
      </c>
      <c r="K35" s="10" t="s">
        <v>255</v>
      </c>
    </row>
    <row r="36" customFormat="false" ht="15" hidden="false" customHeight="false" outlineLevel="0" collapsed="false">
      <c r="A36" s="10" t="s">
        <v>60</v>
      </c>
      <c r="B36" s="10" t="s">
        <v>61</v>
      </c>
      <c r="C36" s="10" t="s">
        <v>62</v>
      </c>
      <c r="D36" s="10" t="s">
        <v>63</v>
      </c>
      <c r="E36" s="10" t="s">
        <v>64</v>
      </c>
      <c r="F36" s="9" t="n">
        <v>4068257.96</v>
      </c>
      <c r="G36" s="9" t="n">
        <v>4068257.96</v>
      </c>
      <c r="H36" s="10" t="s">
        <v>17</v>
      </c>
      <c r="I36" s="9" t="n">
        <v>4068257.96</v>
      </c>
      <c r="J36" s="10" t="s">
        <v>65</v>
      </c>
      <c r="K36" s="10" t="s">
        <v>66</v>
      </c>
    </row>
    <row r="37" customFormat="false" ht="15" hidden="false" customHeight="false" outlineLevel="0" collapsed="false">
      <c r="A37" s="10" t="s">
        <v>60</v>
      </c>
      <c r="B37" s="10" t="s">
        <v>93</v>
      </c>
      <c r="C37" s="10" t="s">
        <v>256</v>
      </c>
      <c r="D37" s="10" t="s">
        <v>157</v>
      </c>
      <c r="E37" s="10" t="s">
        <v>109</v>
      </c>
      <c r="F37" s="9" t="n">
        <v>377129.51</v>
      </c>
      <c r="G37" s="9" t="n">
        <v>377129.51</v>
      </c>
      <c r="H37" s="10" t="s">
        <v>215</v>
      </c>
      <c r="I37" s="9" t="n">
        <v>0</v>
      </c>
      <c r="J37" s="10" t="s">
        <v>234</v>
      </c>
      <c r="K37" s="10" t="s">
        <v>234</v>
      </c>
    </row>
    <row r="38" customFormat="false" ht="15" hidden="false" customHeight="false" outlineLevel="0" collapsed="false">
      <c r="A38" s="10" t="s">
        <v>60</v>
      </c>
      <c r="B38" s="10" t="s">
        <v>83</v>
      </c>
      <c r="C38" s="10" t="s">
        <v>257</v>
      </c>
      <c r="D38" s="10" t="s">
        <v>151</v>
      </c>
      <c r="E38" s="10" t="s">
        <v>109</v>
      </c>
      <c r="F38" s="9" t="n">
        <v>-19991.66</v>
      </c>
      <c r="G38" s="9" t="n">
        <v>-19991.66</v>
      </c>
      <c r="H38" s="10" t="s">
        <v>215</v>
      </c>
      <c r="I38" s="9" t="n">
        <v>0</v>
      </c>
      <c r="J38" s="10" t="s">
        <v>228</v>
      </c>
      <c r="K38" s="10" t="s">
        <v>228</v>
      </c>
    </row>
    <row r="39" customFormat="false" ht="15" hidden="false" customHeight="false" outlineLevel="0" collapsed="false">
      <c r="A39" s="10" t="s">
        <v>60</v>
      </c>
      <c r="B39" s="10" t="s">
        <v>61</v>
      </c>
      <c r="C39" s="10" t="s">
        <v>258</v>
      </c>
      <c r="D39" s="10" t="s">
        <v>63</v>
      </c>
      <c r="E39" s="10" t="s">
        <v>109</v>
      </c>
      <c r="F39" s="9" t="n">
        <v>-3351320.38</v>
      </c>
      <c r="G39" s="9" t="n">
        <v>-3351320.38</v>
      </c>
      <c r="H39" s="10" t="s">
        <v>215</v>
      </c>
      <c r="I39" s="9" t="n">
        <v>0</v>
      </c>
      <c r="J39" s="10" t="s">
        <v>231</v>
      </c>
      <c r="K39" s="10" t="s">
        <v>231</v>
      </c>
    </row>
    <row r="40" customFormat="false" ht="15" hidden="false" customHeight="false" outlineLevel="0" collapsed="false">
      <c r="A40" s="10" t="s">
        <v>60</v>
      </c>
      <c r="B40" s="10" t="s">
        <v>93</v>
      </c>
      <c r="C40" s="10" t="s">
        <v>259</v>
      </c>
      <c r="D40" s="10" t="s">
        <v>200</v>
      </c>
      <c r="E40" s="10" t="s">
        <v>109</v>
      </c>
      <c r="F40" s="9" t="n">
        <v>-1146555.1</v>
      </c>
      <c r="G40" s="9" t="n">
        <v>-1146555.1</v>
      </c>
      <c r="H40" s="10" t="s">
        <v>215</v>
      </c>
      <c r="I40" s="9" t="n">
        <v>0</v>
      </c>
      <c r="J40" s="10" t="s">
        <v>260</v>
      </c>
      <c r="K40" s="10" t="s">
        <v>260</v>
      </c>
    </row>
    <row r="41" customFormat="false" ht="15" hidden="false" customHeight="false" outlineLevel="0" collapsed="false">
      <c r="A41" s="10" t="s">
        <v>60</v>
      </c>
      <c r="B41" s="10" t="s">
        <v>61</v>
      </c>
      <c r="C41" s="10" t="s">
        <v>261</v>
      </c>
      <c r="D41" s="10" t="s">
        <v>164</v>
      </c>
      <c r="E41" s="10" t="s">
        <v>109</v>
      </c>
      <c r="F41" s="9" t="n">
        <v>176865.86</v>
      </c>
      <c r="G41" s="9" t="n">
        <v>176865.86</v>
      </c>
      <c r="H41" s="10" t="s">
        <v>215</v>
      </c>
      <c r="I41" s="9" t="n">
        <v>0</v>
      </c>
      <c r="J41" s="10" t="s">
        <v>228</v>
      </c>
      <c r="K41" s="10" t="s">
        <v>228</v>
      </c>
    </row>
    <row r="42" customFormat="false" ht="15" hidden="false" customHeight="false" outlineLevel="0" collapsed="false">
      <c r="A42" s="10" t="s">
        <v>60</v>
      </c>
      <c r="B42" s="10" t="s">
        <v>89</v>
      </c>
      <c r="C42" s="10" t="s">
        <v>262</v>
      </c>
      <c r="D42" s="10" t="s">
        <v>63</v>
      </c>
      <c r="E42" s="10" t="s">
        <v>109</v>
      </c>
      <c r="F42" s="9" t="n">
        <v>-1394989.78</v>
      </c>
      <c r="G42" s="9" t="n">
        <v>-1394989.78</v>
      </c>
      <c r="H42" s="10" t="s">
        <v>215</v>
      </c>
      <c r="I42" s="9" t="n">
        <v>0</v>
      </c>
      <c r="J42" s="10" t="s">
        <v>95</v>
      </c>
      <c r="K42" s="10" t="s">
        <v>95</v>
      </c>
    </row>
    <row r="43" customFormat="false" ht="15" hidden="false" customHeight="false" outlineLevel="0" collapsed="false">
      <c r="A43" s="10" t="s">
        <v>60</v>
      </c>
      <c r="B43" s="10" t="s">
        <v>89</v>
      </c>
      <c r="C43" s="10" t="s">
        <v>90</v>
      </c>
      <c r="D43" s="10" t="s">
        <v>63</v>
      </c>
      <c r="E43" s="10" t="s">
        <v>64</v>
      </c>
      <c r="F43" s="9" t="n">
        <v>-1644453.51</v>
      </c>
      <c r="G43" s="9" t="n">
        <v>-1644453.51</v>
      </c>
      <c r="H43" s="10" t="s">
        <v>17</v>
      </c>
      <c r="I43" s="9" t="n">
        <v>-1644453.51</v>
      </c>
      <c r="J43" s="10" t="s">
        <v>65</v>
      </c>
      <c r="K43" s="10" t="s">
        <v>91</v>
      </c>
    </row>
    <row r="44" customFormat="false" ht="15" hidden="false" customHeight="false" outlineLevel="0" collapsed="false">
      <c r="A44" s="10" t="s">
        <v>60</v>
      </c>
      <c r="B44" s="10" t="s">
        <v>111</v>
      </c>
      <c r="C44" s="10" t="s">
        <v>263</v>
      </c>
      <c r="D44" s="10" t="s">
        <v>63</v>
      </c>
      <c r="E44" s="10" t="s">
        <v>109</v>
      </c>
      <c r="F44" s="9" t="n">
        <v>4892771.75</v>
      </c>
      <c r="G44" s="9" t="n">
        <v>4892771.75</v>
      </c>
      <c r="H44" s="10" t="s">
        <v>215</v>
      </c>
      <c r="I44" s="9" t="n">
        <v>0</v>
      </c>
      <c r="J44" s="10" t="s">
        <v>65</v>
      </c>
      <c r="K44" s="10" t="s">
        <v>65</v>
      </c>
    </row>
    <row r="45" customFormat="false" ht="15" hidden="false" customHeight="false" outlineLevel="0" collapsed="false">
      <c r="A45" s="10" t="s">
        <v>60</v>
      </c>
      <c r="B45" s="10" t="s">
        <v>83</v>
      </c>
      <c r="C45" s="10" t="s">
        <v>264</v>
      </c>
      <c r="D45" s="10" t="s">
        <v>151</v>
      </c>
      <c r="E45" s="10" t="s">
        <v>64</v>
      </c>
      <c r="F45" s="9" t="n">
        <v>-5359.37</v>
      </c>
      <c r="G45" s="9" t="n">
        <v>-5359.37</v>
      </c>
      <c r="H45" s="10" t="s">
        <v>215</v>
      </c>
      <c r="I45" s="9" t="n">
        <v>0</v>
      </c>
      <c r="J45" s="10" t="s">
        <v>265</v>
      </c>
      <c r="K45" s="10" t="s">
        <v>265</v>
      </c>
    </row>
    <row r="46" customFormat="false" ht="15" hidden="false" customHeight="false" outlineLevel="0" collapsed="false">
      <c r="A46" s="10" t="s">
        <v>60</v>
      </c>
      <c r="B46" s="10" t="s">
        <v>93</v>
      </c>
      <c r="C46" s="10" t="s">
        <v>266</v>
      </c>
      <c r="D46" s="10" t="s">
        <v>63</v>
      </c>
      <c r="E46" s="10" t="s">
        <v>109</v>
      </c>
      <c r="F46" s="9" t="n">
        <v>511385.55</v>
      </c>
      <c r="G46" s="9" t="n">
        <v>511385.55</v>
      </c>
      <c r="H46" s="10" t="s">
        <v>215</v>
      </c>
      <c r="I46" s="9" t="n">
        <v>0</v>
      </c>
      <c r="J46" s="10" t="s">
        <v>260</v>
      </c>
      <c r="K46" s="10" t="s">
        <v>260</v>
      </c>
    </row>
    <row r="47" customFormat="false" ht="15" hidden="false" customHeight="false" outlineLevel="0" collapsed="false">
      <c r="A47" s="10" t="s">
        <v>60</v>
      </c>
      <c r="B47" s="10" t="s">
        <v>93</v>
      </c>
      <c r="C47" s="10" t="s">
        <v>267</v>
      </c>
      <c r="D47" s="10" t="s">
        <v>63</v>
      </c>
      <c r="E47" s="10" t="s">
        <v>109</v>
      </c>
      <c r="F47" s="9" t="n">
        <v>-674793.83</v>
      </c>
      <c r="G47" s="9" t="n">
        <v>-674793.83</v>
      </c>
      <c r="H47" s="10" t="s">
        <v>215</v>
      </c>
      <c r="I47" s="9" t="n">
        <v>0</v>
      </c>
      <c r="J47" s="10" t="s">
        <v>77</v>
      </c>
      <c r="K47" s="10" t="s">
        <v>77</v>
      </c>
    </row>
    <row r="48" customFormat="false" ht="15" hidden="false" customHeight="false" outlineLevel="0" collapsed="false">
      <c r="A48" s="10" t="s">
        <v>60</v>
      </c>
      <c r="B48" s="10" t="s">
        <v>89</v>
      </c>
      <c r="C48" s="10" t="s">
        <v>268</v>
      </c>
      <c r="D48" s="10" t="s">
        <v>151</v>
      </c>
      <c r="E48" s="10" t="s">
        <v>109</v>
      </c>
      <c r="F48" s="9" t="n">
        <v>-11437.68</v>
      </c>
      <c r="G48" s="9" t="n">
        <v>-11437.68</v>
      </c>
      <c r="H48" s="10" t="s">
        <v>215</v>
      </c>
      <c r="I48" s="9" t="n">
        <v>0</v>
      </c>
      <c r="J48" s="10" t="s">
        <v>241</v>
      </c>
      <c r="K48" s="10" t="s">
        <v>241</v>
      </c>
    </row>
    <row r="49" customFormat="false" ht="15" hidden="false" customHeight="false" outlineLevel="0" collapsed="false">
      <c r="A49" s="10" t="s">
        <v>60</v>
      </c>
      <c r="B49" s="10" t="s">
        <v>111</v>
      </c>
      <c r="C49" s="10" t="s">
        <v>269</v>
      </c>
      <c r="D49" s="10" t="s">
        <v>63</v>
      </c>
      <c r="E49" s="10" t="s">
        <v>109</v>
      </c>
      <c r="F49" s="9" t="n">
        <v>-1043934.23</v>
      </c>
      <c r="G49" s="9" t="n">
        <v>-1043934.23</v>
      </c>
      <c r="H49" s="10" t="s">
        <v>215</v>
      </c>
      <c r="I49" s="9" t="n">
        <v>0</v>
      </c>
      <c r="J49" s="10" t="s">
        <v>238</v>
      </c>
      <c r="K49" s="10" t="s">
        <v>238</v>
      </c>
    </row>
    <row r="50" customFormat="false" ht="15" hidden="false" customHeight="false" outlineLevel="0" collapsed="false">
      <c r="A50" s="10" t="s">
        <v>60</v>
      </c>
      <c r="B50" s="10" t="s">
        <v>61</v>
      </c>
      <c r="C50" s="10" t="s">
        <v>270</v>
      </c>
      <c r="D50" s="10" t="s">
        <v>63</v>
      </c>
      <c r="E50" s="10" t="s">
        <v>109</v>
      </c>
      <c r="F50" s="9" t="n">
        <v>-3116756.99</v>
      </c>
      <c r="G50" s="9" t="n">
        <v>-3116756.99</v>
      </c>
      <c r="H50" s="10" t="s">
        <v>215</v>
      </c>
      <c r="I50" s="9" t="n">
        <v>0</v>
      </c>
      <c r="J50" s="10" t="s">
        <v>218</v>
      </c>
      <c r="K50" s="10" t="s">
        <v>218</v>
      </c>
    </row>
    <row r="51" customFormat="false" ht="15" hidden="false" customHeight="false" outlineLevel="0" collapsed="false">
      <c r="A51" s="10" t="s">
        <v>60</v>
      </c>
      <c r="B51" s="10" t="s">
        <v>83</v>
      </c>
      <c r="C51" s="10" t="s">
        <v>271</v>
      </c>
      <c r="D51" s="10" t="s">
        <v>63</v>
      </c>
      <c r="E51" s="10" t="s">
        <v>109</v>
      </c>
      <c r="F51" s="9" t="n">
        <v>2317310.48</v>
      </c>
      <c r="G51" s="9" t="n">
        <v>2317310.49</v>
      </c>
      <c r="H51" s="10" t="s">
        <v>272</v>
      </c>
      <c r="I51" s="9" t="n">
        <v>0.01</v>
      </c>
      <c r="J51" s="10" t="s">
        <v>77</v>
      </c>
      <c r="K51" s="10" t="s">
        <v>77</v>
      </c>
    </row>
    <row r="52" customFormat="false" ht="15" hidden="false" customHeight="false" outlineLevel="0" collapsed="false">
      <c r="A52" s="10" t="s">
        <v>60</v>
      </c>
      <c r="B52" s="10" t="s">
        <v>61</v>
      </c>
      <c r="C52" s="10" t="s">
        <v>273</v>
      </c>
      <c r="D52" s="10" t="s">
        <v>63</v>
      </c>
      <c r="E52" s="10" t="s">
        <v>109</v>
      </c>
      <c r="F52" s="9" t="n">
        <v>-3305418.91</v>
      </c>
      <c r="G52" s="9" t="n">
        <v>-3305418.91</v>
      </c>
      <c r="H52" s="10" t="s">
        <v>215</v>
      </c>
      <c r="I52" s="9" t="n">
        <v>0</v>
      </c>
      <c r="J52" s="10" t="s">
        <v>226</v>
      </c>
      <c r="K52" s="10" t="s">
        <v>226</v>
      </c>
    </row>
    <row r="53" customFormat="false" ht="15" hidden="false" customHeight="false" outlineLevel="0" collapsed="false">
      <c r="A53" s="10" t="s">
        <v>60</v>
      </c>
      <c r="B53" s="10" t="s">
        <v>89</v>
      </c>
      <c r="C53" s="10" t="s">
        <v>274</v>
      </c>
      <c r="D53" s="10" t="s">
        <v>200</v>
      </c>
      <c r="E53" s="10" t="s">
        <v>109</v>
      </c>
      <c r="F53" s="9" t="n">
        <v>-1890632.44</v>
      </c>
      <c r="G53" s="9" t="n">
        <v>-1890632.44</v>
      </c>
      <c r="H53" s="10" t="s">
        <v>215</v>
      </c>
      <c r="I53" s="9" t="n">
        <v>0</v>
      </c>
      <c r="J53" s="10" t="s">
        <v>241</v>
      </c>
      <c r="K53" s="10" t="s">
        <v>241</v>
      </c>
    </row>
    <row r="54" customFormat="false" ht="15" hidden="false" customHeight="false" outlineLevel="0" collapsed="false">
      <c r="A54" s="10" t="s">
        <v>60</v>
      </c>
      <c r="B54" s="10" t="s">
        <v>61</v>
      </c>
      <c r="C54" s="10" t="s">
        <v>128</v>
      </c>
      <c r="D54" s="10" t="s">
        <v>63</v>
      </c>
      <c r="E54" s="10" t="s">
        <v>109</v>
      </c>
      <c r="F54" s="9" t="n">
        <v>-2098377.18</v>
      </c>
      <c r="G54" s="9" t="n">
        <v>-2098377.18</v>
      </c>
      <c r="H54" s="10" t="s">
        <v>17</v>
      </c>
      <c r="I54" s="9" t="n">
        <v>-2098377.18</v>
      </c>
      <c r="J54" s="10" t="s">
        <v>129</v>
      </c>
      <c r="K54" s="10" t="s">
        <v>130</v>
      </c>
    </row>
    <row r="55" customFormat="false" ht="15" hidden="false" customHeight="false" outlineLevel="0" collapsed="false">
      <c r="A55" s="10" t="s">
        <v>60</v>
      </c>
      <c r="B55" s="10" t="s">
        <v>89</v>
      </c>
      <c r="C55" s="10" t="s">
        <v>126</v>
      </c>
      <c r="D55" s="10" t="s">
        <v>63</v>
      </c>
      <c r="E55" s="10" t="s">
        <v>109</v>
      </c>
      <c r="F55" s="9" t="n">
        <v>2162481.83</v>
      </c>
      <c r="G55" s="9" t="n">
        <v>2162481.83</v>
      </c>
      <c r="H55" s="10" t="s">
        <v>17</v>
      </c>
      <c r="I55" s="9" t="n">
        <v>2162481.83</v>
      </c>
      <c r="J55" s="10" t="s">
        <v>65</v>
      </c>
      <c r="K55" s="10" t="s">
        <v>66</v>
      </c>
    </row>
    <row r="56" customFormat="false" ht="15" hidden="false" customHeight="false" outlineLevel="0" collapsed="false">
      <c r="A56" s="10" t="s">
        <v>60</v>
      </c>
      <c r="B56" s="10" t="s">
        <v>93</v>
      </c>
      <c r="C56" s="10" t="s">
        <v>275</v>
      </c>
      <c r="D56" s="10" t="s">
        <v>200</v>
      </c>
      <c r="E56" s="10" t="s">
        <v>109</v>
      </c>
      <c r="F56" s="9" t="n">
        <v>-922980.57</v>
      </c>
      <c r="G56" s="9" t="n">
        <v>-922980.57</v>
      </c>
      <c r="H56" s="10" t="s">
        <v>215</v>
      </c>
      <c r="I56" s="9" t="n">
        <v>0</v>
      </c>
      <c r="J56" s="10" t="s">
        <v>218</v>
      </c>
      <c r="K56" s="10" t="s">
        <v>218</v>
      </c>
    </row>
    <row r="57" customFormat="false" ht="15" hidden="false" customHeight="false" outlineLevel="0" collapsed="false">
      <c r="A57" s="10" t="s">
        <v>60</v>
      </c>
      <c r="B57" s="10" t="s">
        <v>61</v>
      </c>
      <c r="C57" s="10" t="s">
        <v>276</v>
      </c>
      <c r="D57" s="10" t="s">
        <v>63</v>
      </c>
      <c r="E57" s="10" t="s">
        <v>64</v>
      </c>
      <c r="F57" s="9" t="n">
        <v>3051272.37</v>
      </c>
      <c r="G57" s="9" t="n">
        <v>3051272.37</v>
      </c>
      <c r="H57" s="10" t="s">
        <v>215</v>
      </c>
      <c r="I57" s="9" t="n">
        <v>0</v>
      </c>
      <c r="J57" s="10" t="s">
        <v>65</v>
      </c>
      <c r="K57" s="10" t="s">
        <v>65</v>
      </c>
    </row>
    <row r="58" customFormat="false" ht="15" hidden="false" customHeight="false" outlineLevel="0" collapsed="false">
      <c r="A58" s="10" t="s">
        <v>60</v>
      </c>
      <c r="B58" s="10" t="s">
        <v>89</v>
      </c>
      <c r="C58" s="10" t="s">
        <v>277</v>
      </c>
      <c r="D58" s="10" t="s">
        <v>63</v>
      </c>
      <c r="E58" s="10" t="s">
        <v>109</v>
      </c>
      <c r="F58" s="9" t="n">
        <v>-2304310.03</v>
      </c>
      <c r="G58" s="9" t="n">
        <v>-2304310.03</v>
      </c>
      <c r="H58" s="10" t="s">
        <v>215</v>
      </c>
      <c r="I58" s="9" t="n">
        <v>0</v>
      </c>
      <c r="J58" s="10" t="s">
        <v>220</v>
      </c>
      <c r="K58" s="10" t="s">
        <v>220</v>
      </c>
    </row>
    <row r="59" customFormat="false" ht="15" hidden="false" customHeight="false" outlineLevel="0" collapsed="false">
      <c r="A59" s="10" t="s">
        <v>60</v>
      </c>
      <c r="B59" s="10" t="s">
        <v>89</v>
      </c>
      <c r="C59" s="10" t="s">
        <v>278</v>
      </c>
      <c r="D59" s="10" t="s">
        <v>63</v>
      </c>
      <c r="E59" s="10" t="s">
        <v>64</v>
      </c>
      <c r="F59" s="9" t="n">
        <v>-3682286.75</v>
      </c>
      <c r="G59" s="9" t="n">
        <v>-3682286.75</v>
      </c>
      <c r="H59" s="10" t="s">
        <v>215</v>
      </c>
      <c r="I59" s="9" t="n">
        <v>0</v>
      </c>
      <c r="J59" s="10" t="s">
        <v>243</v>
      </c>
      <c r="K59" s="10" t="s">
        <v>243</v>
      </c>
    </row>
    <row r="60" customFormat="false" ht="15" hidden="false" customHeight="false" outlineLevel="0" collapsed="false">
      <c r="A60" s="10" t="s">
        <v>60</v>
      </c>
      <c r="B60" s="10" t="s">
        <v>61</v>
      </c>
      <c r="C60" s="10" t="s">
        <v>279</v>
      </c>
      <c r="D60" s="10" t="s">
        <v>157</v>
      </c>
      <c r="E60" s="10" t="s">
        <v>109</v>
      </c>
      <c r="F60" s="9" t="n">
        <v>116679.27</v>
      </c>
      <c r="G60" s="9" t="n">
        <v>116679.27</v>
      </c>
      <c r="H60" s="10" t="s">
        <v>215</v>
      </c>
      <c r="I60" s="9" t="n">
        <v>0</v>
      </c>
      <c r="J60" s="10" t="s">
        <v>66</v>
      </c>
      <c r="K60" s="10" t="s">
        <v>66</v>
      </c>
    </row>
    <row r="61" customFormat="false" ht="15" hidden="false" customHeight="false" outlineLevel="0" collapsed="false">
      <c r="A61" s="10" t="s">
        <v>60</v>
      </c>
      <c r="B61" s="10" t="s">
        <v>111</v>
      </c>
      <c r="C61" s="10" t="s">
        <v>280</v>
      </c>
      <c r="D61" s="10" t="s">
        <v>63</v>
      </c>
      <c r="E61" s="10" t="s">
        <v>109</v>
      </c>
      <c r="F61" s="9" t="n">
        <v>-4266238.2</v>
      </c>
      <c r="G61" s="9" t="n">
        <v>-4266238.2</v>
      </c>
      <c r="H61" s="10" t="s">
        <v>215</v>
      </c>
      <c r="I61" s="9" t="n">
        <v>0</v>
      </c>
      <c r="J61" s="10" t="s">
        <v>220</v>
      </c>
      <c r="K61" s="10" t="s">
        <v>220</v>
      </c>
    </row>
    <row r="62" customFormat="false" ht="15" hidden="false" customHeight="false" outlineLevel="0" collapsed="false">
      <c r="A62" s="10" t="s">
        <v>60</v>
      </c>
      <c r="B62" s="10" t="s">
        <v>83</v>
      </c>
      <c r="C62" s="10" t="s">
        <v>281</v>
      </c>
      <c r="D62" s="10" t="s">
        <v>157</v>
      </c>
      <c r="E62" s="10" t="s">
        <v>109</v>
      </c>
      <c r="F62" s="9" t="n">
        <v>142687.5</v>
      </c>
      <c r="G62" s="9" t="n">
        <v>142687.5</v>
      </c>
      <c r="H62" s="10" t="s">
        <v>215</v>
      </c>
      <c r="I62" s="9" t="n">
        <v>0</v>
      </c>
      <c r="J62" s="10" t="s">
        <v>216</v>
      </c>
      <c r="K62" s="10" t="s">
        <v>216</v>
      </c>
    </row>
    <row r="63" customFormat="false" ht="15" hidden="false" customHeight="false" outlineLevel="0" collapsed="false">
      <c r="A63" s="10" t="s">
        <v>60</v>
      </c>
      <c r="B63" s="10" t="s">
        <v>111</v>
      </c>
      <c r="C63" s="10" t="s">
        <v>282</v>
      </c>
      <c r="D63" s="10" t="s">
        <v>164</v>
      </c>
      <c r="E63" s="10" t="s">
        <v>109</v>
      </c>
      <c r="F63" s="9" t="n">
        <v>36292.44</v>
      </c>
      <c r="G63" s="9" t="n">
        <v>36292.44</v>
      </c>
      <c r="H63" s="10" t="s">
        <v>215</v>
      </c>
      <c r="I63" s="9" t="n">
        <v>0</v>
      </c>
      <c r="J63" s="10" t="s">
        <v>220</v>
      </c>
      <c r="K63" s="10" t="s">
        <v>220</v>
      </c>
    </row>
    <row r="64" customFormat="false" ht="15" hidden="false" customHeight="false" outlineLevel="0" collapsed="false">
      <c r="A64" s="10" t="s">
        <v>60</v>
      </c>
      <c r="B64" s="10" t="s">
        <v>89</v>
      </c>
      <c r="C64" s="10" t="s">
        <v>283</v>
      </c>
      <c r="D64" s="10" t="s">
        <v>200</v>
      </c>
      <c r="E64" s="10" t="s">
        <v>109</v>
      </c>
      <c r="F64" s="9" t="n">
        <v>-1764786.24</v>
      </c>
      <c r="G64" s="9" t="n">
        <v>-1764786.24</v>
      </c>
      <c r="H64" s="10" t="s">
        <v>215</v>
      </c>
      <c r="I64" s="9" t="n">
        <v>0</v>
      </c>
      <c r="J64" s="10" t="s">
        <v>130</v>
      </c>
      <c r="K64" s="10" t="s">
        <v>130</v>
      </c>
    </row>
    <row r="65" customFormat="false" ht="15" hidden="false" customHeight="false" outlineLevel="0" collapsed="false">
      <c r="A65" s="10" t="s">
        <v>60</v>
      </c>
      <c r="B65" s="10" t="s">
        <v>111</v>
      </c>
      <c r="C65" s="10" t="s">
        <v>284</v>
      </c>
      <c r="D65" s="10" t="s">
        <v>63</v>
      </c>
      <c r="E65" s="10" t="s">
        <v>109</v>
      </c>
      <c r="F65" s="9" t="n">
        <v>2900193.81</v>
      </c>
      <c r="G65" s="9" t="n">
        <v>2900193.81</v>
      </c>
      <c r="H65" s="10" t="s">
        <v>215</v>
      </c>
      <c r="I65" s="9" t="n">
        <v>0</v>
      </c>
      <c r="J65" s="10" t="s">
        <v>130</v>
      </c>
      <c r="K65" s="10" t="s">
        <v>130</v>
      </c>
    </row>
    <row r="66" customFormat="false" ht="15" hidden="false" customHeight="false" outlineLevel="0" collapsed="false">
      <c r="A66" s="10" t="s">
        <v>60</v>
      </c>
      <c r="B66" s="10" t="s">
        <v>89</v>
      </c>
      <c r="C66" s="10" t="s">
        <v>285</v>
      </c>
      <c r="D66" s="10" t="s">
        <v>164</v>
      </c>
      <c r="E66" s="10" t="s">
        <v>64</v>
      </c>
      <c r="F66" s="9" t="n">
        <v>24731.09</v>
      </c>
      <c r="G66" s="9" t="n">
        <v>24731.09</v>
      </c>
      <c r="H66" s="10" t="s">
        <v>215</v>
      </c>
      <c r="I66" s="9" t="n">
        <v>0</v>
      </c>
      <c r="J66" s="10" t="s">
        <v>265</v>
      </c>
      <c r="K66" s="10" t="s">
        <v>265</v>
      </c>
    </row>
    <row r="67" customFormat="false" ht="15" hidden="false" customHeight="false" outlineLevel="0" collapsed="false">
      <c r="A67" s="10" t="s">
        <v>60</v>
      </c>
      <c r="B67" s="10" t="s">
        <v>111</v>
      </c>
      <c r="C67" s="10" t="s">
        <v>148</v>
      </c>
      <c r="D67" s="10" t="s">
        <v>63</v>
      </c>
      <c r="E67" s="10" t="s">
        <v>109</v>
      </c>
      <c r="F67" s="9" t="n">
        <v>382309.88</v>
      </c>
      <c r="G67" s="9" t="n">
        <v>382309.88</v>
      </c>
      <c r="H67" s="10" t="s">
        <v>17</v>
      </c>
      <c r="I67" s="9" t="n">
        <v>382309.88</v>
      </c>
      <c r="J67" s="10" t="s">
        <v>91</v>
      </c>
      <c r="K67" s="10" t="s">
        <v>129</v>
      </c>
    </row>
    <row r="68" customFormat="false" ht="15" hidden="false" customHeight="false" outlineLevel="0" collapsed="false">
      <c r="A68" s="10" t="s">
        <v>60</v>
      </c>
      <c r="B68" s="10" t="s">
        <v>93</v>
      </c>
      <c r="C68" s="10" t="s">
        <v>286</v>
      </c>
      <c r="D68" s="10" t="s">
        <v>200</v>
      </c>
      <c r="E68" s="10" t="s">
        <v>109</v>
      </c>
      <c r="F68" s="9" t="n">
        <v>145765.14</v>
      </c>
      <c r="G68" s="9" t="n">
        <v>145765.14</v>
      </c>
      <c r="H68" s="10" t="s">
        <v>215</v>
      </c>
      <c r="I68" s="9" t="n">
        <v>0</v>
      </c>
      <c r="J68" s="10" t="s">
        <v>228</v>
      </c>
      <c r="K68" s="10" t="s">
        <v>228</v>
      </c>
    </row>
    <row r="69" customFormat="false" ht="15" hidden="false" customHeight="false" outlineLevel="0" collapsed="false">
      <c r="A69" s="10" t="s">
        <v>60</v>
      </c>
      <c r="B69" s="10" t="s">
        <v>61</v>
      </c>
      <c r="C69" s="10" t="s">
        <v>287</v>
      </c>
      <c r="D69" s="10" t="s">
        <v>63</v>
      </c>
      <c r="E69" s="10" t="s">
        <v>109</v>
      </c>
      <c r="F69" s="9" t="n">
        <v>-1852896.29</v>
      </c>
      <c r="G69" s="9" t="n">
        <v>-1852896.29</v>
      </c>
      <c r="H69" s="10" t="s">
        <v>215</v>
      </c>
      <c r="I69" s="9" t="n">
        <v>0</v>
      </c>
      <c r="J69" s="10" t="s">
        <v>243</v>
      </c>
      <c r="K69" s="10" t="s">
        <v>243</v>
      </c>
    </row>
    <row r="70" customFormat="false" ht="15" hidden="false" customHeight="false" outlineLevel="0" collapsed="false">
      <c r="A70" s="10" t="s">
        <v>60</v>
      </c>
      <c r="B70" s="10" t="s">
        <v>83</v>
      </c>
      <c r="C70" s="10" t="s">
        <v>288</v>
      </c>
      <c r="D70" s="10" t="s">
        <v>200</v>
      </c>
      <c r="E70" s="10" t="s">
        <v>109</v>
      </c>
      <c r="F70" s="9" t="n">
        <v>1406491.95</v>
      </c>
      <c r="G70" s="9" t="n">
        <v>1406491.95</v>
      </c>
      <c r="H70" s="10" t="s">
        <v>215</v>
      </c>
      <c r="I70" s="9" t="n">
        <v>0</v>
      </c>
      <c r="J70" s="10" t="s">
        <v>65</v>
      </c>
      <c r="K70" s="10" t="s">
        <v>65</v>
      </c>
    </row>
    <row r="71" customFormat="false" ht="15" hidden="false" customHeight="false" outlineLevel="0" collapsed="false">
      <c r="A71" s="10" t="s">
        <v>60</v>
      </c>
      <c r="B71" s="10" t="s">
        <v>61</v>
      </c>
      <c r="C71" s="10" t="s">
        <v>289</v>
      </c>
      <c r="D71" s="10" t="s">
        <v>63</v>
      </c>
      <c r="E71" s="10" t="s">
        <v>109</v>
      </c>
      <c r="F71" s="9" t="n">
        <v>-4181245.35</v>
      </c>
      <c r="G71" s="9" t="n">
        <v>-4181245.35</v>
      </c>
      <c r="H71" s="10" t="s">
        <v>215</v>
      </c>
      <c r="I71" s="9" t="n">
        <v>0</v>
      </c>
      <c r="J71" s="10" t="s">
        <v>243</v>
      </c>
      <c r="K71" s="10" t="s">
        <v>243</v>
      </c>
    </row>
    <row r="72" customFormat="false" ht="15" hidden="false" customHeight="false" outlineLevel="0" collapsed="false">
      <c r="A72" s="10" t="s">
        <v>60</v>
      </c>
      <c r="B72" s="10" t="s">
        <v>83</v>
      </c>
      <c r="C72" s="10" t="s">
        <v>290</v>
      </c>
      <c r="D72" s="10" t="s">
        <v>63</v>
      </c>
      <c r="E72" s="10" t="s">
        <v>64</v>
      </c>
      <c r="F72" s="9" t="n">
        <v>3402723.83</v>
      </c>
      <c r="G72" s="9" t="n">
        <v>3402723.83</v>
      </c>
      <c r="H72" s="10" t="s">
        <v>215</v>
      </c>
      <c r="I72" s="9" t="n">
        <v>0</v>
      </c>
      <c r="J72" s="10" t="s">
        <v>66</v>
      </c>
      <c r="K72" s="10" t="s">
        <v>66</v>
      </c>
    </row>
    <row r="73" customFormat="false" ht="15" hidden="false" customHeight="false" outlineLevel="0" collapsed="false">
      <c r="A73" s="10" t="s">
        <v>60</v>
      </c>
      <c r="B73" s="10" t="s">
        <v>111</v>
      </c>
      <c r="C73" s="10" t="s">
        <v>291</v>
      </c>
      <c r="D73" s="10" t="s">
        <v>200</v>
      </c>
      <c r="E73" s="10" t="s">
        <v>109</v>
      </c>
      <c r="F73" s="9" t="n">
        <v>1917570.47</v>
      </c>
      <c r="G73" s="9" t="n">
        <v>1917570.47</v>
      </c>
      <c r="H73" s="10" t="s">
        <v>215</v>
      </c>
      <c r="I73" s="9" t="n">
        <v>0</v>
      </c>
      <c r="J73" s="10" t="s">
        <v>255</v>
      </c>
      <c r="K73" s="10" t="s">
        <v>255</v>
      </c>
    </row>
    <row r="74" customFormat="false" ht="15" hidden="false" customHeight="false" outlineLevel="0" collapsed="false">
      <c r="A74" s="10" t="s">
        <v>60</v>
      </c>
      <c r="B74" s="10" t="s">
        <v>111</v>
      </c>
      <c r="C74" s="10" t="s">
        <v>292</v>
      </c>
      <c r="D74" s="10" t="s">
        <v>157</v>
      </c>
      <c r="E74" s="10" t="s">
        <v>109</v>
      </c>
      <c r="F74" s="9" t="n">
        <v>173909.43</v>
      </c>
      <c r="G74" s="9" t="n">
        <v>173909.43</v>
      </c>
      <c r="H74" s="10" t="s">
        <v>215</v>
      </c>
      <c r="I74" s="9" t="n">
        <v>0</v>
      </c>
      <c r="J74" s="10" t="s">
        <v>95</v>
      </c>
      <c r="K74" s="10" t="s">
        <v>95</v>
      </c>
    </row>
    <row r="75" customFormat="false" ht="15" hidden="false" customHeight="false" outlineLevel="0" collapsed="false">
      <c r="A75" s="10" t="s">
        <v>60</v>
      </c>
      <c r="B75" s="10" t="s">
        <v>93</v>
      </c>
      <c r="C75" s="10" t="s">
        <v>293</v>
      </c>
      <c r="D75" s="10" t="s">
        <v>63</v>
      </c>
      <c r="E75" s="10" t="s">
        <v>109</v>
      </c>
      <c r="F75" s="9" t="n">
        <v>-3201258.5</v>
      </c>
      <c r="G75" s="9" t="n">
        <v>-3201258.5</v>
      </c>
      <c r="H75" s="10" t="s">
        <v>215</v>
      </c>
      <c r="I75" s="9" t="n">
        <v>0</v>
      </c>
      <c r="J75" s="10" t="s">
        <v>220</v>
      </c>
      <c r="K75" s="10" t="s">
        <v>220</v>
      </c>
    </row>
    <row r="76" customFormat="false" ht="15" hidden="false" customHeight="false" outlineLevel="0" collapsed="false">
      <c r="A76" s="10" t="s">
        <v>60</v>
      </c>
      <c r="B76" s="10" t="s">
        <v>83</v>
      </c>
      <c r="C76" s="10" t="s">
        <v>294</v>
      </c>
      <c r="D76" s="10" t="s">
        <v>63</v>
      </c>
      <c r="E76" s="10" t="s">
        <v>109</v>
      </c>
      <c r="F76" s="9" t="n">
        <v>-3207454.79</v>
      </c>
      <c r="G76" s="9" t="n">
        <v>-3207454.79</v>
      </c>
      <c r="H76" s="10" t="s">
        <v>215</v>
      </c>
      <c r="I76" s="9" t="n">
        <v>0</v>
      </c>
      <c r="J76" s="10" t="s">
        <v>260</v>
      </c>
      <c r="K76" s="10" t="s">
        <v>260</v>
      </c>
    </row>
    <row r="77" customFormat="false" ht="15" hidden="false" customHeight="false" outlineLevel="0" collapsed="false">
      <c r="A77" s="10" t="s">
        <v>60</v>
      </c>
      <c r="B77" s="10" t="s">
        <v>61</v>
      </c>
      <c r="C77" s="10" t="s">
        <v>295</v>
      </c>
      <c r="D77" s="10" t="s">
        <v>200</v>
      </c>
      <c r="E77" s="10" t="s">
        <v>109</v>
      </c>
      <c r="F77" s="9" t="n">
        <v>-610071.38</v>
      </c>
      <c r="G77" s="9" t="n">
        <v>-610071.38</v>
      </c>
      <c r="H77" s="10" t="s">
        <v>215</v>
      </c>
      <c r="I77" s="9" t="n">
        <v>0</v>
      </c>
      <c r="J77" s="10" t="s">
        <v>223</v>
      </c>
      <c r="K77" s="10" t="s">
        <v>223</v>
      </c>
    </row>
    <row r="78" customFormat="false" ht="15" hidden="false" customHeight="false" outlineLevel="0" collapsed="false">
      <c r="A78" s="10" t="s">
        <v>60</v>
      </c>
      <c r="B78" s="10" t="s">
        <v>93</v>
      </c>
      <c r="C78" s="10" t="s">
        <v>296</v>
      </c>
      <c r="D78" s="10" t="s">
        <v>63</v>
      </c>
      <c r="E78" s="10" t="s">
        <v>109</v>
      </c>
      <c r="F78" s="9" t="n">
        <v>-1153471.56</v>
      </c>
      <c r="G78" s="9" t="n">
        <v>-1153471.56</v>
      </c>
      <c r="H78" s="10" t="s">
        <v>215</v>
      </c>
      <c r="I78" s="9" t="n">
        <v>0</v>
      </c>
      <c r="J78" s="10" t="s">
        <v>265</v>
      </c>
      <c r="K78" s="10" t="s">
        <v>265</v>
      </c>
    </row>
    <row r="79" customFormat="false" ht="15" hidden="false" customHeight="false" outlineLevel="0" collapsed="false">
      <c r="A79" s="10" t="s">
        <v>60</v>
      </c>
      <c r="B79" s="10" t="s">
        <v>89</v>
      </c>
      <c r="C79" s="10" t="s">
        <v>297</v>
      </c>
      <c r="D79" s="10" t="s">
        <v>63</v>
      </c>
      <c r="E79" s="10" t="s">
        <v>109</v>
      </c>
      <c r="F79" s="9" t="n">
        <v>-2287426.83</v>
      </c>
      <c r="G79" s="9" t="n">
        <v>-2287426.82</v>
      </c>
      <c r="H79" s="10" t="s">
        <v>272</v>
      </c>
      <c r="I79" s="9" t="n">
        <v>0.01</v>
      </c>
      <c r="J79" s="10" t="s">
        <v>95</v>
      </c>
      <c r="K79" s="10" t="s">
        <v>95</v>
      </c>
    </row>
    <row r="80" customFormat="false" ht="15" hidden="false" customHeight="false" outlineLevel="0" collapsed="false">
      <c r="A80" s="10" t="s">
        <v>60</v>
      </c>
      <c r="B80" s="10" t="s">
        <v>93</v>
      </c>
      <c r="C80" s="10" t="s">
        <v>298</v>
      </c>
      <c r="D80" s="10" t="s">
        <v>157</v>
      </c>
      <c r="E80" s="10" t="s">
        <v>109</v>
      </c>
      <c r="F80" s="9" t="n">
        <v>7744.68</v>
      </c>
      <c r="G80" s="9" t="n">
        <v>7744.68</v>
      </c>
      <c r="H80" s="10" t="s">
        <v>215</v>
      </c>
      <c r="I80" s="9" t="n">
        <v>0</v>
      </c>
      <c r="J80" s="10" t="s">
        <v>66</v>
      </c>
      <c r="K80" s="10" t="s">
        <v>66</v>
      </c>
    </row>
    <row r="81" customFormat="false" ht="15" hidden="false" customHeight="false" outlineLevel="0" collapsed="false">
      <c r="A81" s="10" t="s">
        <v>60</v>
      </c>
      <c r="B81" s="10" t="s">
        <v>61</v>
      </c>
      <c r="C81" s="10" t="s">
        <v>299</v>
      </c>
      <c r="D81" s="10" t="s">
        <v>151</v>
      </c>
      <c r="E81" s="10" t="s">
        <v>109</v>
      </c>
      <c r="F81" s="9" t="n">
        <v>-9568.16</v>
      </c>
      <c r="G81" s="9" t="n">
        <v>-9568.16</v>
      </c>
      <c r="H81" s="10" t="s">
        <v>215</v>
      </c>
      <c r="I81" s="9" t="n">
        <v>0</v>
      </c>
      <c r="J81" s="10" t="s">
        <v>228</v>
      </c>
      <c r="K81" s="10" t="s">
        <v>228</v>
      </c>
    </row>
    <row r="82" customFormat="false" ht="15" hidden="false" customHeight="false" outlineLevel="0" collapsed="false">
      <c r="A82" s="10" t="s">
        <v>60</v>
      </c>
      <c r="B82" s="10" t="s">
        <v>111</v>
      </c>
      <c r="C82" s="10" t="s">
        <v>300</v>
      </c>
      <c r="D82" s="10" t="s">
        <v>157</v>
      </c>
      <c r="E82" s="10" t="s">
        <v>109</v>
      </c>
      <c r="F82" s="9" t="n">
        <v>427401.05</v>
      </c>
      <c r="G82" s="9" t="n">
        <v>427401.05</v>
      </c>
      <c r="H82" s="10" t="s">
        <v>215</v>
      </c>
      <c r="I82" s="9" t="n">
        <v>0</v>
      </c>
      <c r="J82" s="10" t="s">
        <v>91</v>
      </c>
      <c r="K82" s="10" t="s">
        <v>91</v>
      </c>
    </row>
    <row r="83" customFormat="false" ht="15" hidden="false" customHeight="false" outlineLevel="0" collapsed="false">
      <c r="A83" s="10" t="s">
        <v>60</v>
      </c>
      <c r="B83" s="10" t="s">
        <v>83</v>
      </c>
      <c r="C83" s="10" t="s">
        <v>301</v>
      </c>
      <c r="D83" s="10" t="s">
        <v>200</v>
      </c>
      <c r="E83" s="10" t="s">
        <v>109</v>
      </c>
      <c r="F83" s="9" t="n">
        <v>1917717.62</v>
      </c>
      <c r="G83" s="9" t="n">
        <v>1917717.62</v>
      </c>
      <c r="H83" s="10" t="s">
        <v>215</v>
      </c>
      <c r="I83" s="9" t="n">
        <v>0</v>
      </c>
      <c r="J83" s="10" t="s">
        <v>226</v>
      </c>
      <c r="K83" s="10" t="s">
        <v>226</v>
      </c>
    </row>
    <row r="84" customFormat="false" ht="15" hidden="false" customHeight="false" outlineLevel="0" collapsed="false">
      <c r="A84" s="10" t="s">
        <v>60</v>
      </c>
      <c r="B84" s="10" t="s">
        <v>61</v>
      </c>
      <c r="C84" s="10" t="s">
        <v>302</v>
      </c>
      <c r="D84" s="10" t="s">
        <v>157</v>
      </c>
      <c r="E84" s="10" t="s">
        <v>109</v>
      </c>
      <c r="F84" s="9" t="n">
        <v>197791.02</v>
      </c>
      <c r="G84" s="9" t="n">
        <v>197791.02</v>
      </c>
      <c r="H84" s="10" t="s">
        <v>215</v>
      </c>
      <c r="I84" s="9" t="n">
        <v>0</v>
      </c>
      <c r="J84" s="10" t="s">
        <v>91</v>
      </c>
      <c r="K84" s="10" t="s">
        <v>91</v>
      </c>
    </row>
    <row r="85" customFormat="false" ht="15" hidden="false" customHeight="false" outlineLevel="0" collapsed="false">
      <c r="A85" s="10" t="s">
        <v>60</v>
      </c>
      <c r="B85" s="10" t="s">
        <v>93</v>
      </c>
      <c r="C85" s="10" t="s">
        <v>303</v>
      </c>
      <c r="D85" s="10" t="s">
        <v>63</v>
      </c>
      <c r="E85" s="10" t="s">
        <v>109</v>
      </c>
      <c r="F85" s="9" t="n">
        <v>641795.97</v>
      </c>
      <c r="G85" s="9" t="n">
        <v>641795.97</v>
      </c>
      <c r="H85" s="10" t="s">
        <v>215</v>
      </c>
      <c r="I85" s="9" t="n">
        <v>0</v>
      </c>
      <c r="J85" s="10" t="s">
        <v>130</v>
      </c>
      <c r="K85" s="10" t="s">
        <v>130</v>
      </c>
    </row>
    <row r="86" customFormat="false" ht="15" hidden="false" customHeight="false" outlineLevel="0" collapsed="false">
      <c r="A86" s="10" t="s">
        <v>60</v>
      </c>
      <c r="B86" s="10" t="s">
        <v>93</v>
      </c>
      <c r="C86" s="10" t="s">
        <v>304</v>
      </c>
      <c r="D86" s="10" t="s">
        <v>157</v>
      </c>
      <c r="E86" s="10" t="s">
        <v>109</v>
      </c>
      <c r="F86" s="9" t="n">
        <v>167039.57</v>
      </c>
      <c r="G86" s="9" t="n">
        <v>167039.57</v>
      </c>
      <c r="H86" s="10" t="s">
        <v>215</v>
      </c>
      <c r="I86" s="9" t="n">
        <v>0</v>
      </c>
      <c r="J86" s="10" t="s">
        <v>119</v>
      </c>
      <c r="K86" s="10" t="s">
        <v>119</v>
      </c>
    </row>
    <row r="87" customFormat="false" ht="15" hidden="false" customHeight="false" outlineLevel="0" collapsed="false">
      <c r="A87" s="10" t="s">
        <v>60</v>
      </c>
      <c r="B87" s="10" t="s">
        <v>89</v>
      </c>
      <c r="C87" s="10" t="s">
        <v>305</v>
      </c>
      <c r="D87" s="10" t="s">
        <v>164</v>
      </c>
      <c r="E87" s="10" t="s">
        <v>109</v>
      </c>
      <c r="F87" s="9" t="n">
        <v>435452.83</v>
      </c>
      <c r="G87" s="9" t="n">
        <v>435452.83</v>
      </c>
      <c r="H87" s="10" t="s">
        <v>215</v>
      </c>
      <c r="I87" s="9" t="n">
        <v>0</v>
      </c>
      <c r="J87" s="10" t="s">
        <v>265</v>
      </c>
      <c r="K87" s="10" t="s">
        <v>265</v>
      </c>
    </row>
    <row r="88" customFormat="false" ht="15" hidden="false" customHeight="false" outlineLevel="0" collapsed="false">
      <c r="A88" s="10" t="s">
        <v>60</v>
      </c>
      <c r="B88" s="10" t="s">
        <v>89</v>
      </c>
      <c r="C88" s="10" t="s">
        <v>306</v>
      </c>
      <c r="D88" s="10" t="s">
        <v>157</v>
      </c>
      <c r="E88" s="10" t="s">
        <v>109</v>
      </c>
      <c r="F88" s="9" t="n">
        <v>482921.33</v>
      </c>
      <c r="G88" s="9" t="n">
        <v>482921.33</v>
      </c>
      <c r="H88" s="10" t="s">
        <v>215</v>
      </c>
      <c r="I88" s="9" t="n">
        <v>0</v>
      </c>
      <c r="J88" s="10" t="s">
        <v>265</v>
      </c>
      <c r="K88" s="10" t="s">
        <v>265</v>
      </c>
    </row>
    <row r="89" customFormat="false" ht="15" hidden="false" customHeight="false" outlineLevel="0" collapsed="false">
      <c r="A89" s="10" t="s">
        <v>60</v>
      </c>
      <c r="B89" s="10" t="s">
        <v>111</v>
      </c>
      <c r="C89" s="10" t="s">
        <v>307</v>
      </c>
      <c r="D89" s="10" t="s">
        <v>63</v>
      </c>
      <c r="E89" s="10" t="s">
        <v>109</v>
      </c>
      <c r="F89" s="9" t="n">
        <v>2789691.13</v>
      </c>
      <c r="G89" s="9" t="n">
        <v>2789691.13</v>
      </c>
      <c r="H89" s="10" t="s">
        <v>215</v>
      </c>
      <c r="I89" s="9" t="n">
        <v>0</v>
      </c>
      <c r="J89" s="10" t="s">
        <v>218</v>
      </c>
      <c r="K89" s="10" t="s">
        <v>218</v>
      </c>
    </row>
    <row r="90" customFormat="false" ht="15" hidden="false" customHeight="false" outlineLevel="0" collapsed="false">
      <c r="A90" s="10" t="s">
        <v>60</v>
      </c>
      <c r="B90" s="10" t="s">
        <v>111</v>
      </c>
      <c r="C90" s="10" t="s">
        <v>308</v>
      </c>
      <c r="D90" s="10" t="s">
        <v>157</v>
      </c>
      <c r="E90" s="10" t="s">
        <v>109</v>
      </c>
      <c r="F90" s="9" t="n">
        <v>156163.22</v>
      </c>
      <c r="G90" s="9" t="n">
        <v>156163.22</v>
      </c>
      <c r="H90" s="10" t="s">
        <v>215</v>
      </c>
      <c r="I90" s="9" t="n">
        <v>0</v>
      </c>
      <c r="J90" s="10" t="s">
        <v>228</v>
      </c>
      <c r="K90" s="10" t="s">
        <v>228</v>
      </c>
    </row>
    <row r="91" customFormat="false" ht="15" hidden="false" customHeight="false" outlineLevel="0" collapsed="false">
      <c r="A91" s="10" t="s">
        <v>60</v>
      </c>
      <c r="B91" s="10" t="s">
        <v>93</v>
      </c>
      <c r="C91" s="10" t="s">
        <v>309</v>
      </c>
      <c r="D91" s="10" t="s">
        <v>63</v>
      </c>
      <c r="E91" s="10" t="s">
        <v>109</v>
      </c>
      <c r="F91" s="9" t="n">
        <v>-937835.28</v>
      </c>
      <c r="G91" s="9" t="n">
        <v>-937835.28</v>
      </c>
      <c r="H91" s="10" t="s">
        <v>215</v>
      </c>
      <c r="I91" s="9" t="n">
        <v>0</v>
      </c>
      <c r="J91" s="10" t="s">
        <v>129</v>
      </c>
      <c r="K91" s="10" t="s">
        <v>129</v>
      </c>
    </row>
    <row r="92" customFormat="false" ht="15" hidden="false" customHeight="false" outlineLevel="0" collapsed="false">
      <c r="A92" s="10" t="s">
        <v>60</v>
      </c>
      <c r="B92" s="10" t="s">
        <v>61</v>
      </c>
      <c r="C92" s="10" t="s">
        <v>194</v>
      </c>
      <c r="D92" s="10" t="s">
        <v>157</v>
      </c>
      <c r="E92" s="10" t="s">
        <v>109</v>
      </c>
      <c r="F92" s="9" t="n">
        <v>179064.86</v>
      </c>
      <c r="G92" s="9" t="n">
        <v>161158.37</v>
      </c>
      <c r="H92" s="10" t="s">
        <v>16</v>
      </c>
      <c r="I92" s="9" t="n">
        <v>-17906.49</v>
      </c>
      <c r="J92" s="10" t="s">
        <v>95</v>
      </c>
      <c r="K92" s="10" t="s">
        <v>95</v>
      </c>
    </row>
    <row r="93" customFormat="false" ht="15" hidden="false" customHeight="false" outlineLevel="0" collapsed="false">
      <c r="A93" s="10" t="s">
        <v>60</v>
      </c>
      <c r="B93" s="10" t="s">
        <v>83</v>
      </c>
      <c r="C93" s="10" t="s">
        <v>310</v>
      </c>
      <c r="D93" s="10" t="s">
        <v>151</v>
      </c>
      <c r="E93" s="10" t="s">
        <v>64</v>
      </c>
      <c r="F93" s="9" t="n">
        <v>-19063.99</v>
      </c>
      <c r="G93" s="9" t="n">
        <v>-19063.99</v>
      </c>
      <c r="H93" s="10" t="s">
        <v>215</v>
      </c>
      <c r="I93" s="9" t="n">
        <v>0</v>
      </c>
      <c r="J93" s="10" t="s">
        <v>238</v>
      </c>
      <c r="K93" s="10" t="s">
        <v>238</v>
      </c>
    </row>
    <row r="94" customFormat="false" ht="15" hidden="false" customHeight="false" outlineLevel="0" collapsed="false">
      <c r="A94" s="10" t="s">
        <v>60</v>
      </c>
      <c r="B94" s="10" t="s">
        <v>93</v>
      </c>
      <c r="C94" s="10" t="s">
        <v>311</v>
      </c>
      <c r="D94" s="10" t="s">
        <v>200</v>
      </c>
      <c r="E94" s="10" t="s">
        <v>109</v>
      </c>
      <c r="F94" s="9" t="n">
        <v>2565850.39</v>
      </c>
      <c r="G94" s="9" t="n">
        <v>2565850.39</v>
      </c>
      <c r="H94" s="10" t="s">
        <v>215</v>
      </c>
      <c r="I94" s="9" t="n">
        <v>0</v>
      </c>
      <c r="J94" s="10" t="s">
        <v>130</v>
      </c>
      <c r="K94" s="10" t="s">
        <v>130</v>
      </c>
    </row>
    <row r="95" customFormat="false" ht="15" hidden="false" customHeight="false" outlineLevel="0" collapsed="false">
      <c r="A95" s="10" t="s">
        <v>60</v>
      </c>
      <c r="B95" s="10" t="s">
        <v>89</v>
      </c>
      <c r="C95" s="10" t="s">
        <v>115</v>
      </c>
      <c r="D95" s="10" t="s">
        <v>116</v>
      </c>
      <c r="E95" s="10" t="s">
        <v>64</v>
      </c>
      <c r="F95" s="10"/>
      <c r="G95" s="9" t="n">
        <v>69282.71</v>
      </c>
      <c r="H95" s="10" t="s">
        <v>19</v>
      </c>
      <c r="I95" s="9" t="n">
        <v>69282.71</v>
      </c>
      <c r="J95" s="10"/>
      <c r="K95" s="10" t="s">
        <v>95</v>
      </c>
    </row>
    <row r="96" customFormat="false" ht="15" hidden="false" customHeight="false" outlineLevel="0" collapsed="false">
      <c r="A96" s="10" t="s">
        <v>60</v>
      </c>
      <c r="B96" s="10" t="s">
        <v>111</v>
      </c>
      <c r="C96" s="10" t="s">
        <v>312</v>
      </c>
      <c r="D96" s="10" t="s">
        <v>63</v>
      </c>
      <c r="E96" s="10" t="s">
        <v>109</v>
      </c>
      <c r="F96" s="9" t="n">
        <v>-3900069.84</v>
      </c>
      <c r="G96" s="9" t="n">
        <v>-3900069.84</v>
      </c>
      <c r="H96" s="10" t="s">
        <v>215</v>
      </c>
      <c r="I96" s="9" t="n">
        <v>0</v>
      </c>
      <c r="J96" s="10" t="s">
        <v>129</v>
      </c>
      <c r="K96" s="10" t="s">
        <v>129</v>
      </c>
    </row>
    <row r="97" customFormat="false" ht="15" hidden="false" customHeight="false" outlineLevel="0" collapsed="false">
      <c r="A97" s="10" t="s">
        <v>60</v>
      </c>
      <c r="B97" s="10" t="s">
        <v>111</v>
      </c>
      <c r="C97" s="10" t="s">
        <v>313</v>
      </c>
      <c r="D97" s="10" t="s">
        <v>63</v>
      </c>
      <c r="E97" s="10" t="s">
        <v>64</v>
      </c>
      <c r="F97" s="9" t="n">
        <v>3675180.85</v>
      </c>
      <c r="G97" s="9" t="n">
        <v>3675180.85</v>
      </c>
      <c r="H97" s="10" t="s">
        <v>215</v>
      </c>
      <c r="I97" s="9" t="n">
        <v>0</v>
      </c>
      <c r="J97" s="10" t="s">
        <v>265</v>
      </c>
      <c r="K97" s="10" t="s">
        <v>265</v>
      </c>
    </row>
    <row r="98" customFormat="false" ht="15" hidden="false" customHeight="false" outlineLevel="0" collapsed="false">
      <c r="A98" s="10" t="s">
        <v>60</v>
      </c>
      <c r="B98" s="10" t="s">
        <v>111</v>
      </c>
      <c r="C98" s="10" t="s">
        <v>314</v>
      </c>
      <c r="D98" s="10" t="s">
        <v>164</v>
      </c>
      <c r="E98" s="10" t="s">
        <v>109</v>
      </c>
      <c r="F98" s="9" t="n">
        <v>384898.03</v>
      </c>
      <c r="G98" s="9" t="n">
        <v>384898.03</v>
      </c>
      <c r="H98" s="10" t="s">
        <v>215</v>
      </c>
      <c r="I98" s="9" t="n">
        <v>0</v>
      </c>
      <c r="J98" s="10" t="s">
        <v>218</v>
      </c>
      <c r="K98" s="10" t="s">
        <v>218</v>
      </c>
    </row>
    <row r="99" customFormat="false" ht="15" hidden="false" customHeight="false" outlineLevel="0" collapsed="false">
      <c r="A99" s="10" t="s">
        <v>60</v>
      </c>
      <c r="B99" s="10" t="s">
        <v>61</v>
      </c>
      <c r="C99" s="10" t="s">
        <v>315</v>
      </c>
      <c r="D99" s="10" t="s">
        <v>63</v>
      </c>
      <c r="E99" s="10" t="s">
        <v>109</v>
      </c>
      <c r="F99" s="9" t="n">
        <v>275302.72</v>
      </c>
      <c r="G99" s="9" t="n">
        <v>275302.72</v>
      </c>
      <c r="H99" s="10" t="s">
        <v>215</v>
      </c>
      <c r="I99" s="9" t="n">
        <v>0</v>
      </c>
      <c r="J99" s="10" t="s">
        <v>243</v>
      </c>
      <c r="K99" s="10" t="s">
        <v>243</v>
      </c>
    </row>
    <row r="100" customFormat="false" ht="15" hidden="false" customHeight="false" outlineLevel="0" collapsed="false">
      <c r="A100" s="10" t="s">
        <v>60</v>
      </c>
      <c r="B100" s="10" t="s">
        <v>89</v>
      </c>
      <c r="C100" s="10" t="s">
        <v>316</v>
      </c>
      <c r="D100" s="10" t="s">
        <v>63</v>
      </c>
      <c r="E100" s="10" t="s">
        <v>109</v>
      </c>
      <c r="F100" s="9" t="n">
        <v>4030951.07</v>
      </c>
      <c r="G100" s="9" t="n">
        <v>4030951.07</v>
      </c>
      <c r="H100" s="10" t="s">
        <v>215</v>
      </c>
      <c r="I100" s="9" t="n">
        <v>0</v>
      </c>
      <c r="J100" s="10" t="s">
        <v>260</v>
      </c>
      <c r="K100" s="10" t="s">
        <v>260</v>
      </c>
    </row>
    <row r="101" customFormat="false" ht="15" hidden="false" customHeight="false" outlineLevel="0" collapsed="false">
      <c r="A101" s="10" t="s">
        <v>60</v>
      </c>
      <c r="B101" s="10" t="s">
        <v>83</v>
      </c>
      <c r="C101" s="10" t="s">
        <v>141</v>
      </c>
      <c r="D101" s="10" t="s">
        <v>63</v>
      </c>
      <c r="E101" s="10" t="s">
        <v>64</v>
      </c>
      <c r="F101" s="9" t="n">
        <v>2891795.02</v>
      </c>
      <c r="G101" s="9" t="n">
        <v>2877231.63</v>
      </c>
      <c r="H101" s="10" t="s">
        <v>16</v>
      </c>
      <c r="I101" s="9" t="n">
        <v>-14563.39</v>
      </c>
      <c r="J101" s="10" t="s">
        <v>95</v>
      </c>
      <c r="K101" s="10" t="s">
        <v>95</v>
      </c>
    </row>
    <row r="102" customFormat="false" ht="15" hidden="false" customHeight="false" outlineLevel="0" collapsed="false">
      <c r="A102" s="10" t="s">
        <v>60</v>
      </c>
      <c r="B102" s="10" t="s">
        <v>111</v>
      </c>
      <c r="C102" s="10" t="s">
        <v>317</v>
      </c>
      <c r="D102" s="10" t="s">
        <v>151</v>
      </c>
      <c r="E102" s="10" t="s">
        <v>64</v>
      </c>
      <c r="F102" s="9" t="n">
        <v>-15247.24</v>
      </c>
      <c r="G102" s="9" t="n">
        <v>-15247.24</v>
      </c>
      <c r="H102" s="10" t="s">
        <v>215</v>
      </c>
      <c r="I102" s="9" t="n">
        <v>0</v>
      </c>
      <c r="J102" s="10" t="s">
        <v>228</v>
      </c>
      <c r="K102" s="10" t="s">
        <v>228</v>
      </c>
    </row>
    <row r="103" customFormat="false" ht="15" hidden="false" customHeight="false" outlineLevel="0" collapsed="false">
      <c r="A103" s="10" t="s">
        <v>60</v>
      </c>
      <c r="B103" s="10" t="s">
        <v>111</v>
      </c>
      <c r="C103" s="10" t="s">
        <v>318</v>
      </c>
      <c r="D103" s="10" t="s">
        <v>151</v>
      </c>
      <c r="E103" s="10" t="s">
        <v>109</v>
      </c>
      <c r="F103" s="9" t="n">
        <v>-12951.71</v>
      </c>
      <c r="G103" s="9" t="n">
        <v>-12951.71</v>
      </c>
      <c r="H103" s="10" t="s">
        <v>215</v>
      </c>
      <c r="I103" s="9" t="n">
        <v>0</v>
      </c>
      <c r="J103" s="10" t="s">
        <v>228</v>
      </c>
      <c r="K103" s="10" t="s">
        <v>228</v>
      </c>
    </row>
    <row r="104" customFormat="false" ht="15" hidden="false" customHeight="false" outlineLevel="0" collapsed="false">
      <c r="A104" s="10" t="s">
        <v>60</v>
      </c>
      <c r="B104" s="10" t="s">
        <v>61</v>
      </c>
      <c r="C104" s="10" t="s">
        <v>205</v>
      </c>
      <c r="D104" s="10" t="s">
        <v>151</v>
      </c>
      <c r="E104" s="10" t="s">
        <v>109</v>
      </c>
      <c r="F104" s="10"/>
      <c r="G104" s="9" t="n">
        <v>-6023.31</v>
      </c>
      <c r="H104" s="10" t="s">
        <v>19</v>
      </c>
      <c r="I104" s="9" t="n">
        <v>-6023.31</v>
      </c>
      <c r="J104" s="10"/>
      <c r="K104" s="10" t="s">
        <v>95</v>
      </c>
    </row>
    <row r="105" customFormat="false" ht="15" hidden="false" customHeight="false" outlineLevel="0" collapsed="false">
      <c r="A105" s="10" t="s">
        <v>60</v>
      </c>
      <c r="B105" s="10" t="s">
        <v>111</v>
      </c>
      <c r="C105" s="10" t="s">
        <v>319</v>
      </c>
      <c r="D105" s="10" t="s">
        <v>63</v>
      </c>
      <c r="E105" s="10" t="s">
        <v>109</v>
      </c>
      <c r="F105" s="9" t="n">
        <v>402339.81</v>
      </c>
      <c r="G105" s="9" t="n">
        <v>402339.81</v>
      </c>
      <c r="H105" s="10" t="s">
        <v>215</v>
      </c>
      <c r="I105" s="9" t="n">
        <v>0</v>
      </c>
      <c r="J105" s="10" t="s">
        <v>243</v>
      </c>
      <c r="K105" s="10" t="s">
        <v>243</v>
      </c>
    </row>
    <row r="106" customFormat="false" ht="15" hidden="false" customHeight="false" outlineLevel="0" collapsed="false">
      <c r="A106" s="10" t="s">
        <v>60</v>
      </c>
      <c r="B106" s="10" t="s">
        <v>61</v>
      </c>
      <c r="C106" s="10" t="s">
        <v>320</v>
      </c>
      <c r="D106" s="10" t="s">
        <v>63</v>
      </c>
      <c r="E106" s="10" t="s">
        <v>109</v>
      </c>
      <c r="F106" s="9" t="n">
        <v>3446182.61</v>
      </c>
      <c r="G106" s="9" t="n">
        <v>3446182.62</v>
      </c>
      <c r="H106" s="10" t="s">
        <v>272</v>
      </c>
      <c r="I106" s="9" t="n">
        <v>0.01</v>
      </c>
      <c r="J106" s="10" t="s">
        <v>119</v>
      </c>
      <c r="K106" s="10" t="s">
        <v>119</v>
      </c>
    </row>
    <row r="107" customFormat="false" ht="15" hidden="false" customHeight="false" outlineLevel="0" collapsed="false">
      <c r="A107" s="10" t="s">
        <v>60</v>
      </c>
      <c r="B107" s="10" t="s">
        <v>83</v>
      </c>
      <c r="C107" s="10" t="s">
        <v>321</v>
      </c>
      <c r="D107" s="10" t="s">
        <v>63</v>
      </c>
      <c r="E107" s="10" t="s">
        <v>109</v>
      </c>
      <c r="F107" s="9" t="n">
        <v>3467051.89</v>
      </c>
      <c r="G107" s="9" t="n">
        <v>3467051.89</v>
      </c>
      <c r="H107" s="10" t="s">
        <v>215</v>
      </c>
      <c r="I107" s="9" t="n">
        <v>0</v>
      </c>
      <c r="J107" s="10" t="s">
        <v>260</v>
      </c>
      <c r="K107" s="10" t="s">
        <v>260</v>
      </c>
    </row>
    <row r="108" customFormat="false" ht="15" hidden="false" customHeight="false" outlineLevel="0" collapsed="false">
      <c r="A108" s="10" t="s">
        <v>60</v>
      </c>
      <c r="B108" s="10" t="s">
        <v>111</v>
      </c>
      <c r="C108" s="10" t="s">
        <v>322</v>
      </c>
      <c r="D108" s="10" t="s">
        <v>200</v>
      </c>
      <c r="E108" s="10" t="s">
        <v>109</v>
      </c>
      <c r="F108" s="9" t="n">
        <v>2070602.54</v>
      </c>
      <c r="G108" s="9" t="n">
        <v>2070602.54</v>
      </c>
      <c r="H108" s="10" t="s">
        <v>215</v>
      </c>
      <c r="I108" s="9" t="n">
        <v>0</v>
      </c>
      <c r="J108" s="10" t="s">
        <v>231</v>
      </c>
      <c r="K108" s="10" t="s">
        <v>231</v>
      </c>
    </row>
    <row r="109" customFormat="false" ht="15" hidden="false" customHeight="false" outlineLevel="0" collapsed="false">
      <c r="A109" s="10" t="s">
        <v>60</v>
      </c>
      <c r="B109" s="10" t="s">
        <v>83</v>
      </c>
      <c r="C109" s="10" t="s">
        <v>150</v>
      </c>
      <c r="D109" s="10" t="s">
        <v>151</v>
      </c>
      <c r="E109" s="10" t="s">
        <v>109</v>
      </c>
      <c r="F109" s="10"/>
      <c r="G109" s="9" t="n">
        <v>-6514.18</v>
      </c>
      <c r="H109" s="10" t="s">
        <v>19</v>
      </c>
      <c r="I109" s="9" t="n">
        <v>-6514.18</v>
      </c>
      <c r="J109" s="10"/>
      <c r="K109" s="10" t="s">
        <v>65</v>
      </c>
    </row>
    <row r="110" customFormat="false" ht="15" hidden="false" customHeight="false" outlineLevel="0" collapsed="false">
      <c r="A110" s="10" t="s">
        <v>60</v>
      </c>
      <c r="B110" s="10" t="s">
        <v>93</v>
      </c>
      <c r="C110" s="10" t="s">
        <v>180</v>
      </c>
      <c r="D110" s="10" t="s">
        <v>63</v>
      </c>
      <c r="E110" s="10" t="s">
        <v>109</v>
      </c>
      <c r="F110" s="10"/>
      <c r="G110" s="9" t="n">
        <v>-88263.04</v>
      </c>
      <c r="H110" s="10" t="s">
        <v>19</v>
      </c>
      <c r="I110" s="9" t="n">
        <v>-88263.04</v>
      </c>
      <c r="J110" s="10"/>
      <c r="K110" s="10" t="s">
        <v>119</v>
      </c>
    </row>
    <row r="111" customFormat="false" ht="15" hidden="false" customHeight="false" outlineLevel="0" collapsed="false">
      <c r="A111" s="10" t="s">
        <v>60</v>
      </c>
      <c r="B111" s="10" t="s">
        <v>61</v>
      </c>
      <c r="C111" s="10" t="s">
        <v>323</v>
      </c>
      <c r="D111" s="10" t="s">
        <v>151</v>
      </c>
      <c r="E111" s="10" t="s">
        <v>64</v>
      </c>
      <c r="F111" s="9" t="n">
        <v>-1105.08</v>
      </c>
      <c r="G111" s="9" t="n">
        <v>-1105.08</v>
      </c>
      <c r="H111" s="10" t="s">
        <v>215</v>
      </c>
      <c r="I111" s="9" t="n">
        <v>0</v>
      </c>
      <c r="J111" s="10" t="s">
        <v>216</v>
      </c>
      <c r="K111" s="10" t="s">
        <v>216</v>
      </c>
    </row>
    <row r="112" customFormat="false" ht="15" hidden="false" customHeight="false" outlineLevel="0" collapsed="false">
      <c r="A112" s="10" t="s">
        <v>60</v>
      </c>
      <c r="B112" s="10" t="s">
        <v>93</v>
      </c>
      <c r="C112" s="10" t="s">
        <v>324</v>
      </c>
      <c r="D112" s="10" t="s">
        <v>63</v>
      </c>
      <c r="E112" s="10" t="s">
        <v>109</v>
      </c>
      <c r="F112" s="9" t="n">
        <v>-594135.42</v>
      </c>
      <c r="G112" s="9" t="n">
        <v>-594135.42</v>
      </c>
      <c r="H112" s="10" t="s">
        <v>215</v>
      </c>
      <c r="I112" s="9" t="n">
        <v>0</v>
      </c>
      <c r="J112" s="10" t="s">
        <v>241</v>
      </c>
      <c r="K112" s="10" t="s">
        <v>241</v>
      </c>
    </row>
    <row r="113" customFormat="false" ht="15" hidden="false" customHeight="false" outlineLevel="0" collapsed="false">
      <c r="A113" s="10" t="s">
        <v>60</v>
      </c>
      <c r="B113" s="10" t="s">
        <v>61</v>
      </c>
      <c r="C113" s="10" t="s">
        <v>132</v>
      </c>
      <c r="D113" s="10" t="s">
        <v>63</v>
      </c>
      <c r="E113" s="10" t="s">
        <v>109</v>
      </c>
      <c r="F113" s="9" t="n">
        <v>1935476.77</v>
      </c>
      <c r="G113" s="9" t="n">
        <v>1935476.77</v>
      </c>
      <c r="H113" s="10" t="s">
        <v>17</v>
      </c>
      <c r="I113" s="9" t="n">
        <v>1935476.77</v>
      </c>
      <c r="J113" s="10" t="s">
        <v>129</v>
      </c>
      <c r="K113" s="10" t="s">
        <v>95</v>
      </c>
    </row>
    <row r="114" customFormat="false" ht="15" hidden="false" customHeight="false" outlineLevel="0" collapsed="false">
      <c r="A114" s="10" t="s">
        <v>60</v>
      </c>
      <c r="B114" s="10" t="s">
        <v>93</v>
      </c>
      <c r="C114" s="10" t="s">
        <v>325</v>
      </c>
      <c r="D114" s="10" t="s">
        <v>63</v>
      </c>
      <c r="E114" s="10" t="s">
        <v>109</v>
      </c>
      <c r="F114" s="9" t="n">
        <v>4963825.62</v>
      </c>
      <c r="G114" s="9" t="n">
        <v>4963825.62</v>
      </c>
      <c r="H114" s="10" t="s">
        <v>215</v>
      </c>
      <c r="I114" s="9" t="n">
        <v>0</v>
      </c>
      <c r="J114" s="10" t="s">
        <v>226</v>
      </c>
      <c r="K114" s="10" t="s">
        <v>226</v>
      </c>
    </row>
    <row r="115" customFormat="false" ht="15" hidden="false" customHeight="false" outlineLevel="0" collapsed="false">
      <c r="A115" s="10" t="s">
        <v>60</v>
      </c>
      <c r="B115" s="10" t="s">
        <v>89</v>
      </c>
      <c r="C115" s="10" t="s">
        <v>326</v>
      </c>
      <c r="D115" s="10" t="s">
        <v>63</v>
      </c>
      <c r="E115" s="10" t="s">
        <v>109</v>
      </c>
      <c r="F115" s="9" t="n">
        <v>1391036.31</v>
      </c>
      <c r="G115" s="9" t="n">
        <v>1391036.31</v>
      </c>
      <c r="H115" s="10" t="s">
        <v>215</v>
      </c>
      <c r="I115" s="9" t="n">
        <v>0</v>
      </c>
      <c r="J115" s="10" t="s">
        <v>241</v>
      </c>
      <c r="K115" s="10" t="s">
        <v>241</v>
      </c>
    </row>
    <row r="116" customFormat="false" ht="15" hidden="false" customHeight="false" outlineLevel="0" collapsed="false">
      <c r="A116" s="10" t="s">
        <v>60</v>
      </c>
      <c r="B116" s="10" t="s">
        <v>111</v>
      </c>
      <c r="C116" s="10" t="s">
        <v>327</v>
      </c>
      <c r="D116" s="10" t="s">
        <v>63</v>
      </c>
      <c r="E116" s="10" t="s">
        <v>109</v>
      </c>
      <c r="F116" s="9" t="n">
        <v>2801165.59</v>
      </c>
      <c r="G116" s="9" t="n">
        <v>2801165.59</v>
      </c>
      <c r="H116" s="10" t="s">
        <v>215</v>
      </c>
      <c r="I116" s="9" t="n">
        <v>0</v>
      </c>
      <c r="J116" s="10" t="s">
        <v>328</v>
      </c>
      <c r="K116" s="10" t="s">
        <v>328</v>
      </c>
    </row>
    <row r="117" customFormat="false" ht="15" hidden="false" customHeight="false" outlineLevel="0" collapsed="false">
      <c r="A117" s="10" t="s">
        <v>60</v>
      </c>
      <c r="B117" s="10" t="s">
        <v>61</v>
      </c>
      <c r="C117" s="10" t="s">
        <v>329</v>
      </c>
      <c r="D117" s="10" t="s">
        <v>63</v>
      </c>
      <c r="E117" s="10" t="s">
        <v>109</v>
      </c>
      <c r="F117" s="9" t="n">
        <v>-3741043.11</v>
      </c>
      <c r="G117" s="9" t="n">
        <v>-3741043.11</v>
      </c>
      <c r="H117" s="10" t="s">
        <v>215</v>
      </c>
      <c r="I117" s="9" t="n">
        <v>0</v>
      </c>
      <c r="J117" s="10" t="s">
        <v>66</v>
      </c>
      <c r="K117" s="10" t="s">
        <v>66</v>
      </c>
    </row>
    <row r="118" customFormat="false" ht="15" hidden="false" customHeight="false" outlineLevel="0" collapsed="false">
      <c r="A118" s="10" t="s">
        <v>60</v>
      </c>
      <c r="B118" s="10" t="s">
        <v>89</v>
      </c>
      <c r="C118" s="10" t="s">
        <v>139</v>
      </c>
      <c r="D118" s="10" t="s">
        <v>63</v>
      </c>
      <c r="E118" s="10" t="s">
        <v>109</v>
      </c>
      <c r="F118" s="9" t="n">
        <v>1402175.88</v>
      </c>
      <c r="G118" s="10"/>
      <c r="H118" s="10" t="s">
        <v>18</v>
      </c>
      <c r="I118" s="9" t="n">
        <v>1402175.88</v>
      </c>
      <c r="J118" s="10" t="s">
        <v>65</v>
      </c>
      <c r="K118" s="10"/>
    </row>
    <row r="119" customFormat="false" ht="15" hidden="false" customHeight="false" outlineLevel="0" collapsed="false">
      <c r="A119" s="10" t="s">
        <v>60</v>
      </c>
      <c r="B119" s="10" t="s">
        <v>83</v>
      </c>
      <c r="C119" s="10" t="s">
        <v>330</v>
      </c>
      <c r="D119" s="10" t="s">
        <v>63</v>
      </c>
      <c r="E119" s="10" t="s">
        <v>109</v>
      </c>
      <c r="F119" s="9" t="n">
        <v>-4326933.33</v>
      </c>
      <c r="G119" s="9" t="n">
        <v>-4326933.33</v>
      </c>
      <c r="H119" s="10" t="s">
        <v>215</v>
      </c>
      <c r="I119" s="9" t="n">
        <v>0</v>
      </c>
      <c r="J119" s="10" t="s">
        <v>255</v>
      </c>
      <c r="K119" s="10" t="s">
        <v>255</v>
      </c>
    </row>
    <row r="120" customFormat="false" ht="15" hidden="false" customHeight="false" outlineLevel="0" collapsed="false">
      <c r="A120" s="10" t="s">
        <v>60</v>
      </c>
      <c r="B120" s="10" t="s">
        <v>89</v>
      </c>
      <c r="C120" s="10" t="s">
        <v>331</v>
      </c>
      <c r="D120" s="10" t="s">
        <v>151</v>
      </c>
      <c r="E120" s="10" t="s">
        <v>109</v>
      </c>
      <c r="F120" s="9" t="n">
        <v>-15918.3</v>
      </c>
      <c r="G120" s="9" t="n">
        <v>-15918.3</v>
      </c>
      <c r="H120" s="10" t="s">
        <v>215</v>
      </c>
      <c r="I120" s="9" t="n">
        <v>0</v>
      </c>
      <c r="J120" s="10" t="s">
        <v>241</v>
      </c>
      <c r="K120" s="10" t="s">
        <v>241</v>
      </c>
    </row>
    <row r="121" customFormat="false" ht="15" hidden="false" customHeight="false" outlineLevel="0" collapsed="false">
      <c r="A121" s="10" t="s">
        <v>60</v>
      </c>
      <c r="B121" s="10" t="s">
        <v>111</v>
      </c>
      <c r="C121" s="10" t="s">
        <v>332</v>
      </c>
      <c r="D121" s="10" t="s">
        <v>63</v>
      </c>
      <c r="E121" s="10" t="s">
        <v>64</v>
      </c>
      <c r="F121" s="9" t="n">
        <v>3380500.49</v>
      </c>
      <c r="G121" s="9" t="n">
        <v>3380500.49</v>
      </c>
      <c r="H121" s="10" t="s">
        <v>215</v>
      </c>
      <c r="I121" s="9" t="n">
        <v>0</v>
      </c>
      <c r="J121" s="10" t="s">
        <v>241</v>
      </c>
      <c r="K121" s="10" t="s">
        <v>241</v>
      </c>
    </row>
    <row r="122" customFormat="false" ht="15" hidden="false" customHeight="false" outlineLevel="0" collapsed="false">
      <c r="A122" s="10" t="s">
        <v>60</v>
      </c>
      <c r="B122" s="10" t="s">
        <v>61</v>
      </c>
      <c r="C122" s="10" t="s">
        <v>333</v>
      </c>
      <c r="D122" s="10" t="s">
        <v>200</v>
      </c>
      <c r="E122" s="10" t="s">
        <v>109</v>
      </c>
      <c r="F122" s="9" t="n">
        <v>-2112603.37</v>
      </c>
      <c r="G122" s="9" t="n">
        <v>-2112603.37</v>
      </c>
      <c r="H122" s="10" t="s">
        <v>215</v>
      </c>
      <c r="I122" s="9" t="n">
        <v>0</v>
      </c>
      <c r="J122" s="10" t="s">
        <v>265</v>
      </c>
      <c r="K122" s="10" t="s">
        <v>265</v>
      </c>
    </row>
    <row r="123" customFormat="false" ht="15" hidden="false" customHeight="false" outlineLevel="0" collapsed="false">
      <c r="A123" s="10" t="s">
        <v>60</v>
      </c>
      <c r="B123" s="10" t="s">
        <v>111</v>
      </c>
      <c r="C123" s="10" t="s">
        <v>334</v>
      </c>
      <c r="D123" s="10" t="s">
        <v>63</v>
      </c>
      <c r="E123" s="10" t="s">
        <v>109</v>
      </c>
      <c r="F123" s="9" t="n">
        <v>-3612783.6</v>
      </c>
      <c r="G123" s="9" t="n">
        <v>-3612783.6</v>
      </c>
      <c r="H123" s="10" t="s">
        <v>215</v>
      </c>
      <c r="I123" s="9" t="n">
        <v>0</v>
      </c>
      <c r="J123" s="10" t="s">
        <v>220</v>
      </c>
      <c r="K123" s="10" t="s">
        <v>220</v>
      </c>
    </row>
    <row r="124" customFormat="false" ht="15" hidden="false" customHeight="false" outlineLevel="0" collapsed="false">
      <c r="A124" s="10" t="s">
        <v>60</v>
      </c>
      <c r="B124" s="10" t="s">
        <v>89</v>
      </c>
      <c r="C124" s="10" t="s">
        <v>335</v>
      </c>
      <c r="D124" s="10" t="s">
        <v>157</v>
      </c>
      <c r="E124" s="10" t="s">
        <v>109</v>
      </c>
      <c r="F124" s="9" t="n">
        <v>76597.77</v>
      </c>
      <c r="G124" s="9" t="n">
        <v>76597.77</v>
      </c>
      <c r="H124" s="10" t="s">
        <v>215</v>
      </c>
      <c r="I124" s="9" t="n">
        <v>0</v>
      </c>
      <c r="J124" s="10" t="s">
        <v>65</v>
      </c>
      <c r="K124" s="10" t="s">
        <v>65</v>
      </c>
    </row>
    <row r="125" customFormat="false" ht="15" hidden="false" customHeight="false" outlineLevel="0" collapsed="false">
      <c r="A125" s="10" t="s">
        <v>60</v>
      </c>
      <c r="B125" s="10" t="s">
        <v>83</v>
      </c>
      <c r="C125" s="10" t="s">
        <v>336</v>
      </c>
      <c r="D125" s="10" t="s">
        <v>63</v>
      </c>
      <c r="E125" s="10" t="s">
        <v>109</v>
      </c>
      <c r="F125" s="9" t="n">
        <v>2041881.92</v>
      </c>
      <c r="G125" s="9" t="n">
        <v>2041881.92</v>
      </c>
      <c r="H125" s="10" t="s">
        <v>215</v>
      </c>
      <c r="I125" s="9" t="n">
        <v>0</v>
      </c>
      <c r="J125" s="10" t="s">
        <v>260</v>
      </c>
      <c r="K125" s="10" t="s">
        <v>260</v>
      </c>
    </row>
    <row r="126" customFormat="false" ht="15" hidden="false" customHeight="false" outlineLevel="0" collapsed="false">
      <c r="A126" s="10" t="s">
        <v>60</v>
      </c>
      <c r="B126" s="10" t="s">
        <v>89</v>
      </c>
      <c r="C126" s="10" t="s">
        <v>337</v>
      </c>
      <c r="D126" s="10" t="s">
        <v>200</v>
      </c>
      <c r="E126" s="10" t="s">
        <v>109</v>
      </c>
      <c r="F126" s="9" t="n">
        <v>-1357217.86</v>
      </c>
      <c r="G126" s="9" t="n">
        <v>-1357217.86</v>
      </c>
      <c r="H126" s="10" t="s">
        <v>215</v>
      </c>
      <c r="I126" s="9" t="n">
        <v>0</v>
      </c>
      <c r="J126" s="10" t="s">
        <v>234</v>
      </c>
      <c r="K126" s="10" t="s">
        <v>234</v>
      </c>
    </row>
    <row r="127" customFormat="false" ht="15" hidden="false" customHeight="false" outlineLevel="0" collapsed="false">
      <c r="A127" s="10" t="s">
        <v>60</v>
      </c>
      <c r="B127" s="10" t="s">
        <v>83</v>
      </c>
      <c r="C127" s="10" t="s">
        <v>338</v>
      </c>
      <c r="D127" s="10" t="s">
        <v>63</v>
      </c>
      <c r="E127" s="10" t="s">
        <v>109</v>
      </c>
      <c r="F127" s="9" t="n">
        <v>4410190.76</v>
      </c>
      <c r="G127" s="9" t="n">
        <v>4410190.76</v>
      </c>
      <c r="H127" s="10" t="s">
        <v>215</v>
      </c>
      <c r="I127" s="9" t="n">
        <v>0</v>
      </c>
      <c r="J127" s="10" t="s">
        <v>66</v>
      </c>
      <c r="K127" s="10" t="s">
        <v>66</v>
      </c>
    </row>
    <row r="128" customFormat="false" ht="15" hidden="false" customHeight="false" outlineLevel="0" collapsed="false">
      <c r="A128" s="10" t="s">
        <v>60</v>
      </c>
      <c r="B128" s="10" t="s">
        <v>61</v>
      </c>
      <c r="C128" s="10" t="s">
        <v>339</v>
      </c>
      <c r="D128" s="10" t="s">
        <v>164</v>
      </c>
      <c r="E128" s="10" t="s">
        <v>109</v>
      </c>
      <c r="F128" s="9" t="n">
        <v>54120.62</v>
      </c>
      <c r="G128" s="9" t="n">
        <v>54120.62</v>
      </c>
      <c r="H128" s="10" t="s">
        <v>215</v>
      </c>
      <c r="I128" s="9" t="n">
        <v>0</v>
      </c>
      <c r="J128" s="10" t="s">
        <v>220</v>
      </c>
      <c r="K128" s="10" t="s">
        <v>220</v>
      </c>
    </row>
    <row r="129" customFormat="false" ht="15" hidden="false" customHeight="false" outlineLevel="0" collapsed="false">
      <c r="A129" s="10" t="s">
        <v>60</v>
      </c>
      <c r="B129" s="10" t="s">
        <v>89</v>
      </c>
      <c r="C129" s="10" t="s">
        <v>340</v>
      </c>
      <c r="D129" s="10" t="s">
        <v>63</v>
      </c>
      <c r="E129" s="10" t="s">
        <v>64</v>
      </c>
      <c r="F129" s="9" t="n">
        <v>3360924.42</v>
      </c>
      <c r="G129" s="9" t="n">
        <v>3360924.42</v>
      </c>
      <c r="H129" s="10" t="s">
        <v>215</v>
      </c>
      <c r="I129" s="9" t="n">
        <v>0</v>
      </c>
      <c r="J129" s="10" t="s">
        <v>234</v>
      </c>
      <c r="K129" s="10" t="s">
        <v>234</v>
      </c>
    </row>
    <row r="130" customFormat="false" ht="15" hidden="false" customHeight="false" outlineLevel="0" collapsed="false">
      <c r="A130" s="10" t="s">
        <v>60</v>
      </c>
      <c r="B130" s="10" t="s">
        <v>61</v>
      </c>
      <c r="C130" s="10" t="s">
        <v>341</v>
      </c>
      <c r="D130" s="10" t="s">
        <v>200</v>
      </c>
      <c r="E130" s="10" t="s">
        <v>109</v>
      </c>
      <c r="F130" s="9" t="n">
        <v>-1978358.1</v>
      </c>
      <c r="G130" s="9" t="n">
        <v>-1978358.1</v>
      </c>
      <c r="H130" s="10" t="s">
        <v>215</v>
      </c>
      <c r="I130" s="9" t="n">
        <v>0</v>
      </c>
      <c r="J130" s="10" t="s">
        <v>265</v>
      </c>
      <c r="K130" s="10" t="s">
        <v>265</v>
      </c>
    </row>
    <row r="131" customFormat="false" ht="15" hidden="false" customHeight="false" outlineLevel="0" collapsed="false">
      <c r="A131" s="10" t="s">
        <v>60</v>
      </c>
      <c r="B131" s="10" t="s">
        <v>83</v>
      </c>
      <c r="C131" s="10" t="s">
        <v>146</v>
      </c>
      <c r="D131" s="10" t="s">
        <v>63</v>
      </c>
      <c r="E131" s="10" t="s">
        <v>109</v>
      </c>
      <c r="F131" s="9" t="n">
        <v>540933.39</v>
      </c>
      <c r="G131" s="9" t="n">
        <v>540933.39</v>
      </c>
      <c r="H131" s="10" t="s">
        <v>17</v>
      </c>
      <c r="I131" s="9" t="n">
        <v>540933.39</v>
      </c>
      <c r="J131" s="10" t="s">
        <v>91</v>
      </c>
      <c r="K131" s="10" t="s">
        <v>130</v>
      </c>
    </row>
    <row r="132" customFormat="false" ht="15" hidden="false" customHeight="false" outlineLevel="0" collapsed="false">
      <c r="A132" s="10" t="s">
        <v>60</v>
      </c>
      <c r="B132" s="10" t="s">
        <v>111</v>
      </c>
      <c r="C132" s="10" t="s">
        <v>342</v>
      </c>
      <c r="D132" s="10" t="s">
        <v>151</v>
      </c>
      <c r="E132" s="10" t="s">
        <v>109</v>
      </c>
      <c r="F132" s="9" t="n">
        <v>-10994.37</v>
      </c>
      <c r="G132" s="9" t="n">
        <v>-10994.37</v>
      </c>
      <c r="H132" s="10" t="s">
        <v>215</v>
      </c>
      <c r="I132" s="9" t="n">
        <v>0</v>
      </c>
      <c r="J132" s="10" t="s">
        <v>220</v>
      </c>
      <c r="K132" s="10" t="s">
        <v>220</v>
      </c>
    </row>
    <row r="133" customFormat="false" ht="15" hidden="false" customHeight="false" outlineLevel="0" collapsed="false">
      <c r="A133" s="10" t="s">
        <v>60</v>
      </c>
      <c r="B133" s="10" t="s">
        <v>61</v>
      </c>
      <c r="C133" s="10" t="s">
        <v>343</v>
      </c>
      <c r="D133" s="10" t="s">
        <v>63</v>
      </c>
      <c r="E133" s="10" t="s">
        <v>109</v>
      </c>
      <c r="F133" s="9" t="n">
        <v>2251244.51</v>
      </c>
      <c r="G133" s="9" t="n">
        <v>2251244.51</v>
      </c>
      <c r="H133" s="10" t="s">
        <v>215</v>
      </c>
      <c r="I133" s="9" t="n">
        <v>0</v>
      </c>
      <c r="J133" s="10" t="s">
        <v>243</v>
      </c>
      <c r="K133" s="10" t="s">
        <v>243</v>
      </c>
    </row>
    <row r="134" customFormat="false" ht="15" hidden="false" customHeight="false" outlineLevel="0" collapsed="false">
      <c r="A134" s="10" t="s">
        <v>60</v>
      </c>
      <c r="B134" s="10" t="s">
        <v>89</v>
      </c>
      <c r="C134" s="10" t="s">
        <v>344</v>
      </c>
      <c r="D134" s="10" t="s">
        <v>200</v>
      </c>
      <c r="E134" s="10" t="s">
        <v>109</v>
      </c>
      <c r="F134" s="9" t="n">
        <v>-1536453.08</v>
      </c>
      <c r="G134" s="9" t="n">
        <v>-1536453.08</v>
      </c>
      <c r="H134" s="10" t="s">
        <v>215</v>
      </c>
      <c r="I134" s="9" t="n">
        <v>0</v>
      </c>
      <c r="J134" s="10" t="s">
        <v>226</v>
      </c>
      <c r="K134" s="10" t="s">
        <v>226</v>
      </c>
    </row>
    <row r="135" customFormat="false" ht="15" hidden="false" customHeight="false" outlineLevel="0" collapsed="false">
      <c r="A135" s="10" t="s">
        <v>60</v>
      </c>
      <c r="B135" s="10" t="s">
        <v>89</v>
      </c>
      <c r="C135" s="10" t="s">
        <v>345</v>
      </c>
      <c r="D135" s="10" t="s">
        <v>200</v>
      </c>
      <c r="E135" s="10" t="s">
        <v>109</v>
      </c>
      <c r="F135" s="9" t="n">
        <v>-1463889.83</v>
      </c>
      <c r="G135" s="9" t="n">
        <v>-1463889.83</v>
      </c>
      <c r="H135" s="10" t="s">
        <v>215</v>
      </c>
      <c r="I135" s="9" t="n">
        <v>0</v>
      </c>
      <c r="J135" s="10" t="s">
        <v>328</v>
      </c>
      <c r="K135" s="10" t="s">
        <v>328</v>
      </c>
    </row>
    <row r="136" customFormat="false" ht="15" hidden="false" customHeight="false" outlineLevel="0" collapsed="false">
      <c r="A136" s="10" t="s">
        <v>60</v>
      </c>
      <c r="B136" s="10" t="s">
        <v>93</v>
      </c>
      <c r="C136" s="10" t="s">
        <v>346</v>
      </c>
      <c r="D136" s="10" t="s">
        <v>63</v>
      </c>
      <c r="E136" s="10" t="s">
        <v>109</v>
      </c>
      <c r="F136" s="9" t="n">
        <v>-389620.26</v>
      </c>
      <c r="G136" s="9" t="n">
        <v>-389620.26</v>
      </c>
      <c r="H136" s="10" t="s">
        <v>215</v>
      </c>
      <c r="I136" s="9" t="n">
        <v>0</v>
      </c>
      <c r="J136" s="10" t="s">
        <v>66</v>
      </c>
      <c r="K136" s="10" t="s">
        <v>66</v>
      </c>
    </row>
    <row r="137" customFormat="false" ht="15" hidden="false" customHeight="false" outlineLevel="0" collapsed="false">
      <c r="A137" s="10" t="s">
        <v>60</v>
      </c>
      <c r="B137" s="10" t="s">
        <v>61</v>
      </c>
      <c r="C137" s="10" t="s">
        <v>347</v>
      </c>
      <c r="D137" s="10" t="s">
        <v>200</v>
      </c>
      <c r="E137" s="10" t="s">
        <v>109</v>
      </c>
      <c r="F137" s="9" t="n">
        <v>-2424108.14</v>
      </c>
      <c r="G137" s="9" t="n">
        <v>-2424108.14</v>
      </c>
      <c r="H137" s="10" t="s">
        <v>215</v>
      </c>
      <c r="I137" s="9" t="n">
        <v>0</v>
      </c>
      <c r="J137" s="10" t="s">
        <v>265</v>
      </c>
      <c r="K137" s="10" t="s">
        <v>265</v>
      </c>
    </row>
    <row r="138" customFormat="false" ht="15" hidden="false" customHeight="false" outlineLevel="0" collapsed="false">
      <c r="A138" s="10" t="s">
        <v>60</v>
      </c>
      <c r="B138" s="10" t="s">
        <v>83</v>
      </c>
      <c r="C138" s="10" t="s">
        <v>348</v>
      </c>
      <c r="D138" s="10" t="s">
        <v>200</v>
      </c>
      <c r="E138" s="10" t="s">
        <v>109</v>
      </c>
      <c r="F138" s="9" t="n">
        <v>-2584522.89</v>
      </c>
      <c r="G138" s="9" t="n">
        <v>-2584522.89</v>
      </c>
      <c r="H138" s="10" t="s">
        <v>215</v>
      </c>
      <c r="I138" s="9" t="n">
        <v>0</v>
      </c>
      <c r="J138" s="10" t="s">
        <v>243</v>
      </c>
      <c r="K138" s="10" t="s">
        <v>243</v>
      </c>
    </row>
    <row r="139" customFormat="false" ht="15" hidden="false" customHeight="false" outlineLevel="0" collapsed="false">
      <c r="A139" s="10" t="s">
        <v>60</v>
      </c>
      <c r="B139" s="10" t="s">
        <v>93</v>
      </c>
      <c r="C139" s="10" t="s">
        <v>349</v>
      </c>
      <c r="D139" s="10" t="s">
        <v>200</v>
      </c>
      <c r="E139" s="10" t="s">
        <v>109</v>
      </c>
      <c r="F139" s="9" t="n">
        <v>-329008.22</v>
      </c>
      <c r="G139" s="9" t="n">
        <v>-329008.22</v>
      </c>
      <c r="H139" s="10" t="s">
        <v>215</v>
      </c>
      <c r="I139" s="9" t="n">
        <v>0</v>
      </c>
      <c r="J139" s="10" t="s">
        <v>129</v>
      </c>
      <c r="K139" s="10" t="s">
        <v>129</v>
      </c>
    </row>
    <row r="140" customFormat="false" ht="15" hidden="false" customHeight="false" outlineLevel="0" collapsed="false">
      <c r="A140" s="10" t="s">
        <v>60</v>
      </c>
      <c r="B140" s="10" t="s">
        <v>83</v>
      </c>
      <c r="C140" s="10" t="s">
        <v>350</v>
      </c>
      <c r="D140" s="10" t="s">
        <v>157</v>
      </c>
      <c r="E140" s="10" t="s">
        <v>109</v>
      </c>
      <c r="F140" s="9" t="n">
        <v>171516.33</v>
      </c>
      <c r="G140" s="9" t="n">
        <v>171516.33</v>
      </c>
      <c r="H140" s="10" t="s">
        <v>215</v>
      </c>
      <c r="I140" s="9" t="n">
        <v>0</v>
      </c>
      <c r="J140" s="10" t="s">
        <v>220</v>
      </c>
      <c r="K140" s="10" t="s">
        <v>220</v>
      </c>
    </row>
    <row r="141" customFormat="false" ht="15" hidden="false" customHeight="false" outlineLevel="0" collapsed="false">
      <c r="A141" s="10" t="s">
        <v>60</v>
      </c>
      <c r="B141" s="10" t="s">
        <v>93</v>
      </c>
      <c r="C141" s="10" t="s">
        <v>351</v>
      </c>
      <c r="D141" s="10" t="s">
        <v>200</v>
      </c>
      <c r="E141" s="10" t="s">
        <v>109</v>
      </c>
      <c r="F141" s="9" t="n">
        <v>-867473.76</v>
      </c>
      <c r="G141" s="9" t="n">
        <v>-867473.76</v>
      </c>
      <c r="H141" s="10" t="s">
        <v>215</v>
      </c>
      <c r="I141" s="9" t="n">
        <v>0</v>
      </c>
      <c r="J141" s="10" t="s">
        <v>216</v>
      </c>
      <c r="K141" s="10" t="s">
        <v>216</v>
      </c>
    </row>
    <row r="142" customFormat="false" ht="15" hidden="false" customHeight="false" outlineLevel="0" collapsed="false">
      <c r="A142" s="10" t="s">
        <v>60</v>
      </c>
      <c r="B142" s="10" t="s">
        <v>111</v>
      </c>
      <c r="C142" s="10" t="s">
        <v>352</v>
      </c>
      <c r="D142" s="10" t="s">
        <v>157</v>
      </c>
      <c r="E142" s="10" t="s">
        <v>109</v>
      </c>
      <c r="F142" s="9" t="n">
        <v>50206.81</v>
      </c>
      <c r="G142" s="9" t="n">
        <v>50206.81</v>
      </c>
      <c r="H142" s="10" t="s">
        <v>215</v>
      </c>
      <c r="I142" s="9" t="n">
        <v>0</v>
      </c>
      <c r="J142" s="10" t="s">
        <v>220</v>
      </c>
      <c r="K142" s="10" t="s">
        <v>220</v>
      </c>
    </row>
    <row r="143" customFormat="false" ht="15" hidden="false" customHeight="false" outlineLevel="0" collapsed="false">
      <c r="A143" s="10" t="s">
        <v>60</v>
      </c>
      <c r="B143" s="10" t="s">
        <v>111</v>
      </c>
      <c r="C143" s="10" t="s">
        <v>353</v>
      </c>
      <c r="D143" s="10" t="s">
        <v>151</v>
      </c>
      <c r="E143" s="10" t="s">
        <v>109</v>
      </c>
      <c r="F143" s="9" t="n">
        <v>-5808.8</v>
      </c>
      <c r="G143" s="9" t="n">
        <v>-5808.8</v>
      </c>
      <c r="H143" s="10" t="s">
        <v>215</v>
      </c>
      <c r="I143" s="9" t="n">
        <v>0</v>
      </c>
      <c r="J143" s="10" t="s">
        <v>243</v>
      </c>
      <c r="K143" s="10" t="s">
        <v>243</v>
      </c>
    </row>
    <row r="144" customFormat="false" ht="15" hidden="false" customHeight="false" outlineLevel="0" collapsed="false">
      <c r="A144" s="10" t="s">
        <v>60</v>
      </c>
      <c r="B144" s="10" t="s">
        <v>89</v>
      </c>
      <c r="C144" s="10" t="s">
        <v>354</v>
      </c>
      <c r="D144" s="10" t="s">
        <v>200</v>
      </c>
      <c r="E144" s="10" t="s">
        <v>109</v>
      </c>
      <c r="F144" s="9" t="n">
        <v>144508.03</v>
      </c>
      <c r="G144" s="9" t="n">
        <v>144508.03</v>
      </c>
      <c r="H144" s="10" t="s">
        <v>215</v>
      </c>
      <c r="I144" s="9" t="n">
        <v>0</v>
      </c>
      <c r="J144" s="10" t="s">
        <v>130</v>
      </c>
      <c r="K144" s="10" t="s">
        <v>130</v>
      </c>
    </row>
    <row r="145" customFormat="false" ht="15" hidden="false" customHeight="false" outlineLevel="0" collapsed="false">
      <c r="A145" s="10" t="s">
        <v>60</v>
      </c>
      <c r="B145" s="10" t="s">
        <v>93</v>
      </c>
      <c r="C145" s="10" t="s">
        <v>355</v>
      </c>
      <c r="D145" s="10" t="s">
        <v>63</v>
      </c>
      <c r="E145" s="10" t="s">
        <v>64</v>
      </c>
      <c r="F145" s="9" t="n">
        <v>-824836.45</v>
      </c>
      <c r="G145" s="9" t="n">
        <v>-824836.45</v>
      </c>
      <c r="H145" s="10" t="s">
        <v>215</v>
      </c>
      <c r="I145" s="9" t="n">
        <v>0</v>
      </c>
      <c r="J145" s="10" t="s">
        <v>65</v>
      </c>
      <c r="K145" s="10" t="s">
        <v>65</v>
      </c>
    </row>
    <row r="146" customFormat="false" ht="15" hidden="false" customHeight="false" outlineLevel="0" collapsed="false">
      <c r="A146" s="10" t="s">
        <v>60</v>
      </c>
      <c r="B146" s="10" t="s">
        <v>89</v>
      </c>
      <c r="C146" s="10" t="s">
        <v>356</v>
      </c>
      <c r="D146" s="10" t="s">
        <v>63</v>
      </c>
      <c r="E146" s="10" t="s">
        <v>109</v>
      </c>
      <c r="F146" s="9" t="n">
        <v>4111719.89</v>
      </c>
      <c r="G146" s="9" t="n">
        <v>4111719.89</v>
      </c>
      <c r="H146" s="10" t="s">
        <v>215</v>
      </c>
      <c r="I146" s="9" t="n">
        <v>0</v>
      </c>
      <c r="J146" s="10" t="s">
        <v>238</v>
      </c>
      <c r="K146" s="10" t="s">
        <v>238</v>
      </c>
    </row>
    <row r="147" customFormat="false" ht="15" hidden="false" customHeight="false" outlineLevel="0" collapsed="false">
      <c r="A147" s="10" t="s">
        <v>60</v>
      </c>
      <c r="B147" s="10" t="s">
        <v>83</v>
      </c>
      <c r="C147" s="10" t="s">
        <v>357</v>
      </c>
      <c r="D147" s="10" t="s">
        <v>200</v>
      </c>
      <c r="E147" s="10" t="s">
        <v>109</v>
      </c>
      <c r="F147" s="9" t="n">
        <v>460625.61</v>
      </c>
      <c r="G147" s="9" t="n">
        <v>460625.61</v>
      </c>
      <c r="H147" s="10" t="s">
        <v>215</v>
      </c>
      <c r="I147" s="9" t="n">
        <v>0</v>
      </c>
      <c r="J147" s="10" t="s">
        <v>260</v>
      </c>
      <c r="K147" s="10" t="s">
        <v>260</v>
      </c>
    </row>
    <row r="148" customFormat="false" ht="15" hidden="false" customHeight="false" outlineLevel="0" collapsed="false">
      <c r="A148" s="10" t="s">
        <v>60</v>
      </c>
      <c r="B148" s="10" t="s">
        <v>93</v>
      </c>
      <c r="C148" s="10" t="s">
        <v>358</v>
      </c>
      <c r="D148" s="10" t="s">
        <v>200</v>
      </c>
      <c r="E148" s="10" t="s">
        <v>109</v>
      </c>
      <c r="F148" s="9" t="n">
        <v>2111653.65</v>
      </c>
      <c r="G148" s="9" t="n">
        <v>2111653.65</v>
      </c>
      <c r="H148" s="10" t="s">
        <v>215</v>
      </c>
      <c r="I148" s="9" t="n">
        <v>0</v>
      </c>
      <c r="J148" s="10" t="s">
        <v>238</v>
      </c>
      <c r="K148" s="10" t="s">
        <v>238</v>
      </c>
    </row>
    <row r="149" customFormat="false" ht="15" hidden="false" customHeight="false" outlineLevel="0" collapsed="false">
      <c r="A149" s="10" t="s">
        <v>60</v>
      </c>
      <c r="B149" s="10" t="s">
        <v>83</v>
      </c>
      <c r="C149" s="10" t="s">
        <v>359</v>
      </c>
      <c r="D149" s="10" t="s">
        <v>151</v>
      </c>
      <c r="E149" s="10" t="s">
        <v>109</v>
      </c>
      <c r="F149" s="9" t="n">
        <v>-7987.58</v>
      </c>
      <c r="G149" s="9" t="n">
        <v>-7987.58</v>
      </c>
      <c r="H149" s="10" t="s">
        <v>215</v>
      </c>
      <c r="I149" s="9" t="n">
        <v>0</v>
      </c>
      <c r="J149" s="10" t="s">
        <v>91</v>
      </c>
      <c r="K149" s="10" t="s">
        <v>91</v>
      </c>
    </row>
    <row r="150" customFormat="false" ht="15" hidden="false" customHeight="false" outlineLevel="0" collapsed="false">
      <c r="A150" s="10" t="s">
        <v>60</v>
      </c>
      <c r="B150" s="10" t="s">
        <v>61</v>
      </c>
      <c r="C150" s="10" t="s">
        <v>360</v>
      </c>
      <c r="D150" s="10" t="s">
        <v>151</v>
      </c>
      <c r="E150" s="10" t="s">
        <v>109</v>
      </c>
      <c r="F150" s="9" t="n">
        <v>-3146.14</v>
      </c>
      <c r="G150" s="9" t="n">
        <v>-3146.14</v>
      </c>
      <c r="H150" s="10" t="s">
        <v>215</v>
      </c>
      <c r="I150" s="9" t="n">
        <v>0</v>
      </c>
      <c r="J150" s="10" t="s">
        <v>95</v>
      </c>
      <c r="K150" s="10" t="s">
        <v>95</v>
      </c>
    </row>
    <row r="151" customFormat="false" ht="15" hidden="false" customHeight="false" outlineLevel="0" collapsed="false">
      <c r="A151" s="10" t="s">
        <v>60</v>
      </c>
      <c r="B151" s="10" t="s">
        <v>93</v>
      </c>
      <c r="C151" s="10" t="s">
        <v>361</v>
      </c>
      <c r="D151" s="10" t="s">
        <v>164</v>
      </c>
      <c r="E151" s="10" t="s">
        <v>64</v>
      </c>
      <c r="F151" s="9" t="n">
        <v>136488.07</v>
      </c>
      <c r="G151" s="9" t="n">
        <v>136488.07</v>
      </c>
      <c r="H151" s="10" t="s">
        <v>215</v>
      </c>
      <c r="I151" s="9" t="n">
        <v>0</v>
      </c>
      <c r="J151" s="10" t="s">
        <v>216</v>
      </c>
      <c r="K151" s="10" t="s">
        <v>216</v>
      </c>
    </row>
    <row r="152" customFormat="false" ht="15" hidden="false" customHeight="false" outlineLevel="0" collapsed="false">
      <c r="A152" s="10" t="s">
        <v>60</v>
      </c>
      <c r="B152" s="10" t="s">
        <v>111</v>
      </c>
      <c r="C152" s="10" t="s">
        <v>362</v>
      </c>
      <c r="D152" s="10" t="s">
        <v>157</v>
      </c>
      <c r="E152" s="10" t="s">
        <v>109</v>
      </c>
      <c r="F152" s="9" t="n">
        <v>180638.36</v>
      </c>
      <c r="G152" s="9" t="n">
        <v>180638.36</v>
      </c>
      <c r="H152" s="10" t="s">
        <v>215</v>
      </c>
      <c r="I152" s="9" t="n">
        <v>0</v>
      </c>
      <c r="J152" s="10" t="s">
        <v>129</v>
      </c>
      <c r="K152" s="10" t="s">
        <v>129</v>
      </c>
    </row>
    <row r="153" customFormat="false" ht="15" hidden="false" customHeight="false" outlineLevel="0" collapsed="false">
      <c r="A153" s="10" t="s">
        <v>60</v>
      </c>
      <c r="B153" s="10" t="s">
        <v>89</v>
      </c>
      <c r="C153" s="10" t="s">
        <v>363</v>
      </c>
      <c r="D153" s="10" t="s">
        <v>63</v>
      </c>
      <c r="E153" s="10" t="s">
        <v>109</v>
      </c>
      <c r="F153" s="9" t="n">
        <v>2351691.54</v>
      </c>
      <c r="G153" s="9" t="n">
        <v>2351691.54</v>
      </c>
      <c r="H153" s="10" t="s">
        <v>215</v>
      </c>
      <c r="I153" s="9" t="n">
        <v>0</v>
      </c>
      <c r="J153" s="10" t="s">
        <v>228</v>
      </c>
      <c r="K153" s="10" t="s">
        <v>228</v>
      </c>
    </row>
    <row r="154" customFormat="false" ht="15" hidden="false" customHeight="false" outlineLevel="0" collapsed="false">
      <c r="A154" s="10" t="s">
        <v>60</v>
      </c>
      <c r="B154" s="10" t="s">
        <v>83</v>
      </c>
      <c r="C154" s="10" t="s">
        <v>364</v>
      </c>
      <c r="D154" s="10" t="s">
        <v>200</v>
      </c>
      <c r="E154" s="10" t="s">
        <v>109</v>
      </c>
      <c r="F154" s="9" t="n">
        <v>-434491.08</v>
      </c>
      <c r="G154" s="9" t="n">
        <v>-434491.08</v>
      </c>
      <c r="H154" s="10" t="s">
        <v>215</v>
      </c>
      <c r="I154" s="9" t="n">
        <v>0</v>
      </c>
      <c r="J154" s="10" t="s">
        <v>238</v>
      </c>
      <c r="K154" s="10" t="s">
        <v>238</v>
      </c>
    </row>
    <row r="155" customFormat="false" ht="15" hidden="false" customHeight="false" outlineLevel="0" collapsed="false">
      <c r="A155" s="10" t="s">
        <v>60</v>
      </c>
      <c r="B155" s="10" t="s">
        <v>83</v>
      </c>
      <c r="C155" s="10" t="s">
        <v>365</v>
      </c>
      <c r="D155" s="10" t="s">
        <v>164</v>
      </c>
      <c r="E155" s="10" t="s">
        <v>109</v>
      </c>
      <c r="F155" s="9" t="n">
        <v>25705.28</v>
      </c>
      <c r="G155" s="9" t="n">
        <v>25705.28</v>
      </c>
      <c r="H155" s="10" t="s">
        <v>215</v>
      </c>
      <c r="I155" s="9" t="n">
        <v>0</v>
      </c>
      <c r="J155" s="10" t="s">
        <v>66</v>
      </c>
      <c r="K155" s="10" t="s">
        <v>66</v>
      </c>
    </row>
    <row r="156" customFormat="false" ht="15" hidden="false" customHeight="false" outlineLevel="0" collapsed="false">
      <c r="A156" s="10" t="s">
        <v>60</v>
      </c>
      <c r="B156" s="10" t="s">
        <v>93</v>
      </c>
      <c r="C156" s="10" t="s">
        <v>366</v>
      </c>
      <c r="D156" s="10" t="s">
        <v>164</v>
      </c>
      <c r="E156" s="10" t="s">
        <v>109</v>
      </c>
      <c r="F156" s="9" t="n">
        <v>244678.3</v>
      </c>
      <c r="G156" s="9" t="n">
        <v>244678.3</v>
      </c>
      <c r="H156" s="10" t="s">
        <v>215</v>
      </c>
      <c r="I156" s="9" t="n">
        <v>0</v>
      </c>
      <c r="J156" s="10" t="s">
        <v>91</v>
      </c>
      <c r="K156" s="10" t="s">
        <v>91</v>
      </c>
    </row>
    <row r="157" customFormat="false" ht="15" hidden="false" customHeight="false" outlineLevel="0" collapsed="false">
      <c r="A157" s="10" t="s">
        <v>60</v>
      </c>
      <c r="B157" s="10" t="s">
        <v>111</v>
      </c>
      <c r="C157" s="10" t="s">
        <v>199</v>
      </c>
      <c r="D157" s="10" t="s">
        <v>200</v>
      </c>
      <c r="E157" s="10" t="s">
        <v>109</v>
      </c>
      <c r="F157" s="9" t="n">
        <v>-2622601.85</v>
      </c>
      <c r="G157" s="9" t="n">
        <v>-2610532.44</v>
      </c>
      <c r="H157" s="10" t="s">
        <v>16</v>
      </c>
      <c r="I157" s="9" t="n">
        <v>12069.41</v>
      </c>
      <c r="J157" s="10" t="s">
        <v>77</v>
      </c>
      <c r="K157" s="10" t="s">
        <v>77</v>
      </c>
    </row>
    <row r="158" customFormat="false" ht="15" hidden="false" customHeight="false" outlineLevel="0" collapsed="false">
      <c r="A158" s="10" t="s">
        <v>60</v>
      </c>
      <c r="B158" s="10" t="s">
        <v>111</v>
      </c>
      <c r="C158" s="10" t="s">
        <v>367</v>
      </c>
      <c r="D158" s="10" t="s">
        <v>63</v>
      </c>
      <c r="E158" s="10" t="s">
        <v>109</v>
      </c>
      <c r="F158" s="9" t="n">
        <v>2745106.01</v>
      </c>
      <c r="G158" s="9" t="n">
        <v>2745106.01</v>
      </c>
      <c r="H158" s="10" t="s">
        <v>215</v>
      </c>
      <c r="I158" s="9" t="n">
        <v>0</v>
      </c>
      <c r="J158" s="10" t="s">
        <v>130</v>
      </c>
      <c r="K158" s="10" t="s">
        <v>130</v>
      </c>
    </row>
    <row r="159" customFormat="false" ht="15" hidden="false" customHeight="false" outlineLevel="0" collapsed="false">
      <c r="A159" s="10" t="s">
        <v>60</v>
      </c>
      <c r="B159" s="10" t="s">
        <v>61</v>
      </c>
      <c r="C159" s="10" t="s">
        <v>156</v>
      </c>
      <c r="D159" s="10" t="s">
        <v>157</v>
      </c>
      <c r="E159" s="10" t="s">
        <v>109</v>
      </c>
      <c r="F159" s="9" t="n">
        <v>486046.11</v>
      </c>
      <c r="G159" s="10"/>
      <c r="H159" s="10" t="s">
        <v>18</v>
      </c>
      <c r="I159" s="9" t="n">
        <v>486046.11</v>
      </c>
      <c r="J159" s="10" t="s">
        <v>119</v>
      </c>
      <c r="K159" s="10"/>
    </row>
    <row r="160" customFormat="false" ht="15" hidden="false" customHeight="false" outlineLevel="0" collapsed="false">
      <c r="A160" s="10" t="s">
        <v>60</v>
      </c>
      <c r="B160" s="10" t="s">
        <v>89</v>
      </c>
      <c r="C160" s="10" t="s">
        <v>368</v>
      </c>
      <c r="D160" s="10" t="s">
        <v>200</v>
      </c>
      <c r="E160" s="10" t="s">
        <v>109</v>
      </c>
      <c r="F160" s="9" t="n">
        <v>2766670.7</v>
      </c>
      <c r="G160" s="9" t="n">
        <v>2766670.7</v>
      </c>
      <c r="H160" s="10" t="s">
        <v>215</v>
      </c>
      <c r="I160" s="9" t="n">
        <v>0</v>
      </c>
      <c r="J160" s="10" t="s">
        <v>129</v>
      </c>
      <c r="K160" s="10" t="s">
        <v>129</v>
      </c>
    </row>
    <row r="161" customFormat="false" ht="15" hidden="false" customHeight="false" outlineLevel="0" collapsed="false">
      <c r="A161" s="10" t="s">
        <v>60</v>
      </c>
      <c r="B161" s="10" t="s">
        <v>89</v>
      </c>
      <c r="C161" s="10" t="s">
        <v>369</v>
      </c>
      <c r="D161" s="10" t="s">
        <v>157</v>
      </c>
      <c r="E161" s="10" t="s">
        <v>109</v>
      </c>
      <c r="F161" s="9" t="n">
        <v>149173.35</v>
      </c>
      <c r="G161" s="9" t="n">
        <v>149173.35</v>
      </c>
      <c r="H161" s="10" t="s">
        <v>215</v>
      </c>
      <c r="I161" s="9" t="n">
        <v>0</v>
      </c>
      <c r="J161" s="10" t="s">
        <v>243</v>
      </c>
      <c r="K161" s="10" t="s">
        <v>243</v>
      </c>
    </row>
    <row r="162" customFormat="false" ht="15" hidden="false" customHeight="false" outlineLevel="0" collapsed="false">
      <c r="A162" s="10" t="s">
        <v>60</v>
      </c>
      <c r="B162" s="10" t="s">
        <v>93</v>
      </c>
      <c r="C162" s="10" t="s">
        <v>169</v>
      </c>
      <c r="D162" s="10" t="s">
        <v>157</v>
      </c>
      <c r="E162" s="10" t="s">
        <v>109</v>
      </c>
      <c r="F162" s="9" t="n">
        <v>706634.56</v>
      </c>
      <c r="G162" s="9" t="n">
        <v>353317.28</v>
      </c>
      <c r="H162" s="10" t="s">
        <v>20</v>
      </c>
      <c r="I162" s="9" t="n">
        <v>353317.28</v>
      </c>
      <c r="J162" s="10" t="s">
        <v>95</v>
      </c>
      <c r="K162" s="10" t="s">
        <v>95</v>
      </c>
    </row>
    <row r="163" customFormat="false" ht="15" hidden="false" customHeight="false" outlineLevel="0" collapsed="false">
      <c r="A163" s="10" t="s">
        <v>60</v>
      </c>
      <c r="B163" s="10" t="s">
        <v>93</v>
      </c>
      <c r="C163" s="10" t="s">
        <v>370</v>
      </c>
      <c r="D163" s="10" t="s">
        <v>157</v>
      </c>
      <c r="E163" s="10" t="s">
        <v>109</v>
      </c>
      <c r="F163" s="9" t="n">
        <v>285134.39</v>
      </c>
      <c r="G163" s="9" t="n">
        <v>285134.39</v>
      </c>
      <c r="H163" s="10" t="s">
        <v>215</v>
      </c>
      <c r="I163" s="9" t="n">
        <v>0</v>
      </c>
      <c r="J163" s="10" t="s">
        <v>65</v>
      </c>
      <c r="K163" s="10" t="s">
        <v>65</v>
      </c>
    </row>
    <row r="164" customFormat="false" ht="15" hidden="false" customHeight="false" outlineLevel="0" collapsed="false">
      <c r="A164" s="10" t="s">
        <v>60</v>
      </c>
      <c r="B164" s="10" t="s">
        <v>93</v>
      </c>
      <c r="C164" s="10" t="s">
        <v>371</v>
      </c>
      <c r="D164" s="10" t="s">
        <v>63</v>
      </c>
      <c r="E164" s="10" t="s">
        <v>109</v>
      </c>
      <c r="F164" s="9" t="n">
        <v>2735925.15</v>
      </c>
      <c r="G164" s="9" t="n">
        <v>2735925.15</v>
      </c>
      <c r="H164" s="10" t="s">
        <v>215</v>
      </c>
      <c r="I164" s="9" t="n">
        <v>0</v>
      </c>
      <c r="J164" s="10" t="s">
        <v>95</v>
      </c>
      <c r="K164" s="10" t="s">
        <v>95</v>
      </c>
    </row>
    <row r="165" customFormat="false" ht="15" hidden="false" customHeight="false" outlineLevel="0" collapsed="false">
      <c r="A165" s="10" t="s">
        <v>60</v>
      </c>
      <c r="B165" s="10" t="s">
        <v>111</v>
      </c>
      <c r="C165" s="10" t="s">
        <v>372</v>
      </c>
      <c r="D165" s="10" t="s">
        <v>63</v>
      </c>
      <c r="E165" s="10" t="s">
        <v>109</v>
      </c>
      <c r="F165" s="9" t="n">
        <v>2714191.81</v>
      </c>
      <c r="G165" s="9" t="n">
        <v>2714191.81</v>
      </c>
      <c r="H165" s="10" t="s">
        <v>215</v>
      </c>
      <c r="I165" s="9" t="n">
        <v>0</v>
      </c>
      <c r="J165" s="10" t="s">
        <v>226</v>
      </c>
      <c r="K165" s="10" t="s">
        <v>226</v>
      </c>
    </row>
    <row r="166" customFormat="false" ht="15" hidden="false" customHeight="false" outlineLevel="0" collapsed="false">
      <c r="A166" s="10" t="s">
        <v>60</v>
      </c>
      <c r="B166" s="10" t="s">
        <v>61</v>
      </c>
      <c r="C166" s="10" t="s">
        <v>373</v>
      </c>
      <c r="D166" s="10" t="s">
        <v>164</v>
      </c>
      <c r="E166" s="10" t="s">
        <v>64</v>
      </c>
      <c r="F166" s="9" t="n">
        <v>283605.6</v>
      </c>
      <c r="G166" s="9" t="n">
        <v>283605.6</v>
      </c>
      <c r="H166" s="10" t="s">
        <v>215</v>
      </c>
      <c r="I166" s="9" t="n">
        <v>0</v>
      </c>
      <c r="J166" s="10" t="s">
        <v>66</v>
      </c>
      <c r="K166" s="10" t="s">
        <v>66</v>
      </c>
    </row>
    <row r="167" customFormat="false" ht="15" hidden="false" customHeight="false" outlineLevel="0" collapsed="false">
      <c r="A167" s="10" t="s">
        <v>60</v>
      </c>
      <c r="B167" s="10" t="s">
        <v>83</v>
      </c>
      <c r="C167" s="10" t="s">
        <v>374</v>
      </c>
      <c r="D167" s="10" t="s">
        <v>151</v>
      </c>
      <c r="E167" s="10" t="s">
        <v>109</v>
      </c>
      <c r="F167" s="9" t="n">
        <v>-19619.96</v>
      </c>
      <c r="G167" s="9" t="n">
        <v>-19619.96</v>
      </c>
      <c r="H167" s="10" t="s">
        <v>215</v>
      </c>
      <c r="I167" s="9" t="n">
        <v>0</v>
      </c>
      <c r="J167" s="10" t="s">
        <v>255</v>
      </c>
      <c r="K167" s="10" t="s">
        <v>255</v>
      </c>
    </row>
    <row r="168" customFormat="false" ht="15" hidden="false" customHeight="false" outlineLevel="0" collapsed="false">
      <c r="A168" s="10" t="s">
        <v>60</v>
      </c>
      <c r="B168" s="10" t="s">
        <v>83</v>
      </c>
      <c r="C168" s="10" t="s">
        <v>176</v>
      </c>
      <c r="D168" s="10" t="s">
        <v>164</v>
      </c>
      <c r="E168" s="10" t="s">
        <v>109</v>
      </c>
      <c r="F168" s="9" t="n">
        <v>229554.67</v>
      </c>
      <c r="G168" s="10"/>
      <c r="H168" s="10" t="s">
        <v>18</v>
      </c>
      <c r="I168" s="9" t="n">
        <v>229554.67</v>
      </c>
      <c r="J168" s="10" t="s">
        <v>77</v>
      </c>
      <c r="K168" s="10"/>
    </row>
    <row r="169" customFormat="false" ht="15" hidden="false" customHeight="false" outlineLevel="0" collapsed="false">
      <c r="A169" s="10" t="s">
        <v>60</v>
      </c>
      <c r="B169" s="10" t="s">
        <v>89</v>
      </c>
      <c r="C169" s="10" t="s">
        <v>375</v>
      </c>
      <c r="D169" s="10" t="s">
        <v>164</v>
      </c>
      <c r="E169" s="10" t="s">
        <v>109</v>
      </c>
      <c r="F169" s="9" t="n">
        <v>484682.34</v>
      </c>
      <c r="G169" s="9" t="n">
        <v>484682.34</v>
      </c>
      <c r="H169" s="10" t="s">
        <v>215</v>
      </c>
      <c r="I169" s="9" t="n">
        <v>0</v>
      </c>
      <c r="J169" s="10" t="s">
        <v>216</v>
      </c>
      <c r="K169" s="10" t="s">
        <v>216</v>
      </c>
    </row>
    <row r="170" customFormat="false" ht="15" hidden="false" customHeight="false" outlineLevel="0" collapsed="false">
      <c r="A170" s="10" t="s">
        <v>60</v>
      </c>
      <c r="B170" s="10" t="s">
        <v>93</v>
      </c>
      <c r="C170" s="10" t="s">
        <v>376</v>
      </c>
      <c r="D170" s="10" t="s">
        <v>157</v>
      </c>
      <c r="E170" s="10" t="s">
        <v>109</v>
      </c>
      <c r="F170" s="9" t="n">
        <v>451084.51</v>
      </c>
      <c r="G170" s="9" t="n">
        <v>451084.51</v>
      </c>
      <c r="H170" s="10" t="s">
        <v>215</v>
      </c>
      <c r="I170" s="9" t="n">
        <v>0</v>
      </c>
      <c r="J170" s="10" t="s">
        <v>255</v>
      </c>
      <c r="K170" s="10" t="s">
        <v>255</v>
      </c>
    </row>
    <row r="171" customFormat="false" ht="15" hidden="false" customHeight="false" outlineLevel="0" collapsed="false">
      <c r="A171" s="10" t="s">
        <v>60</v>
      </c>
      <c r="B171" s="10" t="s">
        <v>61</v>
      </c>
      <c r="C171" s="10" t="s">
        <v>377</v>
      </c>
      <c r="D171" s="10" t="s">
        <v>63</v>
      </c>
      <c r="E171" s="10" t="s">
        <v>109</v>
      </c>
      <c r="F171" s="9" t="n">
        <v>-415616.41</v>
      </c>
      <c r="G171" s="9" t="n">
        <v>-415616.41</v>
      </c>
      <c r="H171" s="10" t="s">
        <v>215</v>
      </c>
      <c r="I171" s="9" t="n">
        <v>0</v>
      </c>
      <c r="J171" s="10" t="s">
        <v>265</v>
      </c>
      <c r="K171" s="10" t="s">
        <v>265</v>
      </c>
    </row>
    <row r="172" customFormat="false" ht="15" hidden="false" customHeight="false" outlineLevel="0" collapsed="false">
      <c r="A172" s="10" t="s">
        <v>60</v>
      </c>
      <c r="B172" s="10" t="s">
        <v>111</v>
      </c>
      <c r="C172" s="10" t="s">
        <v>378</v>
      </c>
      <c r="D172" s="10" t="s">
        <v>157</v>
      </c>
      <c r="E172" s="10" t="s">
        <v>109</v>
      </c>
      <c r="F172" s="9" t="n">
        <v>192667.48</v>
      </c>
      <c r="G172" s="9" t="n">
        <v>192667.48</v>
      </c>
      <c r="H172" s="10" t="s">
        <v>215</v>
      </c>
      <c r="I172" s="9" t="n">
        <v>0</v>
      </c>
      <c r="J172" s="10" t="s">
        <v>238</v>
      </c>
      <c r="K172" s="10" t="s">
        <v>238</v>
      </c>
    </row>
    <row r="173" customFormat="false" ht="15" hidden="false" customHeight="false" outlineLevel="0" collapsed="false">
      <c r="A173" s="10" t="s">
        <v>60</v>
      </c>
      <c r="B173" s="10" t="s">
        <v>89</v>
      </c>
      <c r="C173" s="10" t="s">
        <v>379</v>
      </c>
      <c r="D173" s="10" t="s">
        <v>63</v>
      </c>
      <c r="E173" s="10" t="s">
        <v>109</v>
      </c>
      <c r="F173" s="9" t="n">
        <v>2484145.47</v>
      </c>
      <c r="G173" s="9" t="n">
        <v>2484145.47</v>
      </c>
      <c r="H173" s="10" t="s">
        <v>215</v>
      </c>
      <c r="I173" s="9" t="n">
        <v>0</v>
      </c>
      <c r="J173" s="10" t="s">
        <v>130</v>
      </c>
      <c r="K173" s="10" t="s">
        <v>130</v>
      </c>
    </row>
    <row r="174" customFormat="false" ht="15" hidden="false" customHeight="false" outlineLevel="0" collapsed="false">
      <c r="A174" s="10" t="s">
        <v>60</v>
      </c>
      <c r="B174" s="10" t="s">
        <v>111</v>
      </c>
      <c r="C174" s="10" t="s">
        <v>380</v>
      </c>
      <c r="D174" s="10" t="s">
        <v>63</v>
      </c>
      <c r="E174" s="10" t="s">
        <v>109</v>
      </c>
      <c r="F174" s="9" t="n">
        <v>-170905.67</v>
      </c>
      <c r="G174" s="9" t="n">
        <v>-170905.67</v>
      </c>
      <c r="H174" s="10" t="s">
        <v>215</v>
      </c>
      <c r="I174" s="9" t="n">
        <v>0</v>
      </c>
      <c r="J174" s="10" t="s">
        <v>65</v>
      </c>
      <c r="K174" s="10" t="s">
        <v>65</v>
      </c>
    </row>
    <row r="175" customFormat="false" ht="15" hidden="false" customHeight="false" outlineLevel="0" collapsed="false">
      <c r="A175" s="10" t="s">
        <v>60</v>
      </c>
      <c r="B175" s="10" t="s">
        <v>61</v>
      </c>
      <c r="C175" s="10" t="s">
        <v>381</v>
      </c>
      <c r="D175" s="10" t="s">
        <v>63</v>
      </c>
      <c r="E175" s="10" t="s">
        <v>109</v>
      </c>
      <c r="F175" s="9" t="n">
        <v>1824393.54</v>
      </c>
      <c r="G175" s="9" t="n">
        <v>1824393.54</v>
      </c>
      <c r="H175" s="10" t="s">
        <v>215</v>
      </c>
      <c r="I175" s="9" t="n">
        <v>0</v>
      </c>
      <c r="J175" s="10" t="s">
        <v>238</v>
      </c>
      <c r="K175" s="10" t="s">
        <v>238</v>
      </c>
    </row>
    <row r="176" customFormat="false" ht="15" hidden="false" customHeight="false" outlineLevel="0" collapsed="false">
      <c r="A176" s="10" t="s">
        <v>60</v>
      </c>
      <c r="B176" s="10" t="s">
        <v>93</v>
      </c>
      <c r="C176" s="10" t="s">
        <v>189</v>
      </c>
      <c r="D176" s="10" t="s">
        <v>157</v>
      </c>
      <c r="E176" s="10" t="s">
        <v>109</v>
      </c>
      <c r="F176" s="9" t="n">
        <v>116001.21</v>
      </c>
      <c r="G176" s="9" t="n">
        <v>92800.97</v>
      </c>
      <c r="H176" s="10" t="s">
        <v>16</v>
      </c>
      <c r="I176" s="9" t="n">
        <v>-23200.24</v>
      </c>
      <c r="J176" s="10" t="s">
        <v>119</v>
      </c>
      <c r="K176" s="10" t="s">
        <v>119</v>
      </c>
    </row>
    <row r="177" customFormat="false" ht="15" hidden="false" customHeight="false" outlineLevel="0" collapsed="false">
      <c r="A177" s="10" t="s">
        <v>60</v>
      </c>
      <c r="B177" s="10" t="s">
        <v>93</v>
      </c>
      <c r="C177" s="10" t="s">
        <v>94</v>
      </c>
      <c r="D177" s="10" t="s">
        <v>63</v>
      </c>
      <c r="E177" s="10" t="s">
        <v>64</v>
      </c>
      <c r="F177" s="9" t="n">
        <v>-1396909.08</v>
      </c>
      <c r="G177" s="10"/>
      <c r="H177" s="10" t="s">
        <v>18</v>
      </c>
      <c r="I177" s="9" t="n">
        <v>-1396909.08</v>
      </c>
      <c r="J177" s="10" t="s">
        <v>95</v>
      </c>
      <c r="K177" s="10"/>
    </row>
    <row r="178" customFormat="false" ht="15" hidden="false" customHeight="false" outlineLevel="0" collapsed="false">
      <c r="A178" s="10" t="s">
        <v>60</v>
      </c>
      <c r="B178" s="10" t="s">
        <v>93</v>
      </c>
      <c r="C178" s="10" t="s">
        <v>382</v>
      </c>
      <c r="D178" s="10" t="s">
        <v>164</v>
      </c>
      <c r="E178" s="10" t="s">
        <v>109</v>
      </c>
      <c r="F178" s="9" t="n">
        <v>130718.78</v>
      </c>
      <c r="G178" s="9" t="n">
        <v>130718.78</v>
      </c>
      <c r="H178" s="10" t="s">
        <v>215</v>
      </c>
      <c r="I178" s="9" t="n">
        <v>0</v>
      </c>
      <c r="J178" s="10" t="s">
        <v>65</v>
      </c>
      <c r="K178" s="10" t="s">
        <v>65</v>
      </c>
    </row>
    <row r="179" customFormat="false" ht="15" hidden="false" customHeight="false" outlineLevel="0" collapsed="false">
      <c r="A179" s="10" t="s">
        <v>60</v>
      </c>
      <c r="B179" s="10" t="s">
        <v>93</v>
      </c>
      <c r="C179" s="10" t="s">
        <v>383</v>
      </c>
      <c r="D179" s="10" t="s">
        <v>63</v>
      </c>
      <c r="E179" s="10" t="s">
        <v>109</v>
      </c>
      <c r="F179" s="9" t="n">
        <v>4355016.55</v>
      </c>
      <c r="G179" s="9" t="n">
        <v>4355016.55</v>
      </c>
      <c r="H179" s="10" t="s">
        <v>215</v>
      </c>
      <c r="I179" s="9" t="n">
        <v>0</v>
      </c>
      <c r="J179" s="10" t="s">
        <v>255</v>
      </c>
      <c r="K179" s="10" t="s">
        <v>255</v>
      </c>
    </row>
    <row r="180" customFormat="false" ht="15" hidden="false" customHeight="false" outlineLevel="0" collapsed="false">
      <c r="A180" s="10" t="s">
        <v>60</v>
      </c>
      <c r="B180" s="10" t="s">
        <v>83</v>
      </c>
      <c r="C180" s="10" t="s">
        <v>384</v>
      </c>
      <c r="D180" s="10" t="s">
        <v>151</v>
      </c>
      <c r="E180" s="10" t="s">
        <v>109</v>
      </c>
      <c r="F180" s="9" t="n">
        <v>-19025.77</v>
      </c>
      <c r="G180" s="9" t="n">
        <v>-19025.77</v>
      </c>
      <c r="H180" s="10" t="s">
        <v>215</v>
      </c>
      <c r="I180" s="9" t="n">
        <v>0</v>
      </c>
      <c r="J180" s="10" t="s">
        <v>241</v>
      </c>
      <c r="K180" s="10" t="s">
        <v>241</v>
      </c>
    </row>
    <row r="181" customFormat="false" ht="15" hidden="false" customHeight="false" outlineLevel="0" collapsed="false">
      <c r="A181" s="10" t="s">
        <v>60</v>
      </c>
      <c r="B181" s="10" t="s">
        <v>93</v>
      </c>
      <c r="C181" s="10" t="s">
        <v>385</v>
      </c>
      <c r="D181" s="10" t="s">
        <v>151</v>
      </c>
      <c r="E181" s="10" t="s">
        <v>109</v>
      </c>
      <c r="F181" s="9" t="n">
        <v>-17192.25</v>
      </c>
      <c r="G181" s="9" t="n">
        <v>-17192.25</v>
      </c>
      <c r="H181" s="10" t="s">
        <v>215</v>
      </c>
      <c r="I181" s="9" t="n">
        <v>0</v>
      </c>
      <c r="J181" s="10" t="s">
        <v>228</v>
      </c>
      <c r="K181" s="10" t="s">
        <v>228</v>
      </c>
    </row>
    <row r="182" customFormat="false" ht="15" hidden="false" customHeight="false" outlineLevel="0" collapsed="false">
      <c r="A182" s="10" t="s">
        <v>60</v>
      </c>
      <c r="B182" s="10" t="s">
        <v>61</v>
      </c>
      <c r="C182" s="10" t="s">
        <v>386</v>
      </c>
      <c r="D182" s="10" t="s">
        <v>157</v>
      </c>
      <c r="E182" s="10" t="s">
        <v>109</v>
      </c>
      <c r="F182" s="9" t="n">
        <v>205178.56</v>
      </c>
      <c r="G182" s="9" t="n">
        <v>205178.56</v>
      </c>
      <c r="H182" s="10" t="s">
        <v>215</v>
      </c>
      <c r="I182" s="9" t="n">
        <v>0</v>
      </c>
      <c r="J182" s="10" t="s">
        <v>95</v>
      </c>
      <c r="K182" s="10" t="s">
        <v>95</v>
      </c>
    </row>
    <row r="183" customFormat="false" ht="15" hidden="false" customHeight="false" outlineLevel="0" collapsed="false">
      <c r="A183" s="10" t="s">
        <v>60</v>
      </c>
      <c r="B183" s="10" t="s">
        <v>93</v>
      </c>
      <c r="C183" s="10" t="s">
        <v>387</v>
      </c>
      <c r="D183" s="10" t="s">
        <v>63</v>
      </c>
      <c r="E183" s="10" t="s">
        <v>109</v>
      </c>
      <c r="F183" s="9" t="n">
        <v>4979840.51</v>
      </c>
      <c r="G183" s="9" t="n">
        <v>4979840.51</v>
      </c>
      <c r="H183" s="10" t="s">
        <v>215</v>
      </c>
      <c r="I183" s="9" t="n">
        <v>0</v>
      </c>
      <c r="J183" s="10" t="s">
        <v>119</v>
      </c>
      <c r="K183" s="10" t="s">
        <v>119</v>
      </c>
    </row>
    <row r="184" customFormat="false" ht="15" hidden="false" customHeight="false" outlineLevel="0" collapsed="false">
      <c r="A184" s="10" t="s">
        <v>60</v>
      </c>
      <c r="B184" s="10" t="s">
        <v>83</v>
      </c>
      <c r="C184" s="10" t="s">
        <v>388</v>
      </c>
      <c r="D184" s="10" t="s">
        <v>63</v>
      </c>
      <c r="E184" s="10" t="s">
        <v>109</v>
      </c>
      <c r="F184" s="9" t="n">
        <v>-4632530.92</v>
      </c>
      <c r="G184" s="9" t="n">
        <v>-4632530.92</v>
      </c>
      <c r="H184" s="10" t="s">
        <v>215</v>
      </c>
      <c r="I184" s="9" t="n">
        <v>0</v>
      </c>
      <c r="J184" s="10" t="s">
        <v>223</v>
      </c>
      <c r="K184" s="10" t="s">
        <v>223</v>
      </c>
    </row>
    <row r="185" customFormat="false" ht="15" hidden="false" customHeight="false" outlineLevel="0" collapsed="false">
      <c r="A185" s="10" t="s">
        <v>60</v>
      </c>
      <c r="B185" s="10" t="s">
        <v>89</v>
      </c>
      <c r="C185" s="10" t="s">
        <v>389</v>
      </c>
      <c r="D185" s="10" t="s">
        <v>200</v>
      </c>
      <c r="E185" s="10" t="s">
        <v>109</v>
      </c>
      <c r="F185" s="9" t="n">
        <v>-1543235.03</v>
      </c>
      <c r="G185" s="9" t="n">
        <v>-1543235.03</v>
      </c>
      <c r="H185" s="10" t="s">
        <v>215</v>
      </c>
      <c r="I185" s="9" t="n">
        <v>0</v>
      </c>
      <c r="J185" s="10" t="s">
        <v>220</v>
      </c>
      <c r="K185" s="10" t="s">
        <v>220</v>
      </c>
    </row>
    <row r="186" customFormat="false" ht="15" hidden="false" customHeight="false" outlineLevel="0" collapsed="false">
      <c r="A186" s="10" t="s">
        <v>60</v>
      </c>
      <c r="B186" s="10" t="s">
        <v>61</v>
      </c>
      <c r="C186" s="10" t="s">
        <v>390</v>
      </c>
      <c r="D186" s="10" t="s">
        <v>151</v>
      </c>
      <c r="E186" s="10" t="s">
        <v>109</v>
      </c>
      <c r="F186" s="9" t="n">
        <v>-16740.36</v>
      </c>
      <c r="G186" s="9" t="n">
        <v>-16740.36</v>
      </c>
      <c r="H186" s="10" t="s">
        <v>215</v>
      </c>
      <c r="I186" s="9" t="n">
        <v>0</v>
      </c>
      <c r="J186" s="10" t="s">
        <v>220</v>
      </c>
      <c r="K186" s="10" t="s">
        <v>220</v>
      </c>
    </row>
    <row r="187" customFormat="false" ht="15" hidden="false" customHeight="false" outlineLevel="0" collapsed="false">
      <c r="A187" s="10" t="s">
        <v>60</v>
      </c>
      <c r="B187" s="10" t="s">
        <v>61</v>
      </c>
      <c r="C187" s="10" t="s">
        <v>391</v>
      </c>
      <c r="D187" s="10" t="s">
        <v>63</v>
      </c>
      <c r="E187" s="10" t="s">
        <v>109</v>
      </c>
      <c r="F187" s="9" t="n">
        <v>-2851348.63</v>
      </c>
      <c r="G187" s="9" t="n">
        <v>-2851348.63</v>
      </c>
      <c r="H187" s="10" t="s">
        <v>215</v>
      </c>
      <c r="I187" s="9" t="n">
        <v>0</v>
      </c>
      <c r="J187" s="10" t="s">
        <v>218</v>
      </c>
      <c r="K187" s="10" t="s">
        <v>218</v>
      </c>
    </row>
    <row r="188" customFormat="false" ht="15" hidden="false" customHeight="false" outlineLevel="0" collapsed="false">
      <c r="A188" s="10" t="s">
        <v>60</v>
      </c>
      <c r="B188" s="10" t="s">
        <v>61</v>
      </c>
      <c r="C188" s="10" t="s">
        <v>137</v>
      </c>
      <c r="D188" s="10" t="s">
        <v>63</v>
      </c>
      <c r="E188" s="10" t="s">
        <v>109</v>
      </c>
      <c r="F188" s="9" t="n">
        <v>1800310.49</v>
      </c>
      <c r="G188" s="9" t="n">
        <v>1800310.49</v>
      </c>
      <c r="H188" s="10" t="s">
        <v>17</v>
      </c>
      <c r="I188" s="9" t="n">
        <v>1800310.49</v>
      </c>
      <c r="J188" s="10" t="s">
        <v>91</v>
      </c>
      <c r="K188" s="10" t="s">
        <v>130</v>
      </c>
    </row>
    <row r="189" customFormat="false" ht="15" hidden="false" customHeight="false" outlineLevel="0" collapsed="false">
      <c r="A189" s="10" t="s">
        <v>60</v>
      </c>
      <c r="B189" s="10" t="s">
        <v>83</v>
      </c>
      <c r="C189" s="10" t="s">
        <v>392</v>
      </c>
      <c r="D189" s="10" t="s">
        <v>164</v>
      </c>
      <c r="E189" s="10" t="s">
        <v>109</v>
      </c>
      <c r="F189" s="9" t="n">
        <v>297986.92</v>
      </c>
      <c r="G189" s="9" t="n">
        <v>297986.92</v>
      </c>
      <c r="H189" s="10" t="s">
        <v>215</v>
      </c>
      <c r="I189" s="9" t="n">
        <v>0</v>
      </c>
      <c r="J189" s="10" t="s">
        <v>77</v>
      </c>
      <c r="K189" s="10" t="s">
        <v>77</v>
      </c>
    </row>
    <row r="190" customFormat="false" ht="15" hidden="false" customHeight="false" outlineLevel="0" collapsed="false">
      <c r="A190" s="10" t="s">
        <v>60</v>
      </c>
      <c r="B190" s="10" t="s">
        <v>111</v>
      </c>
      <c r="C190" s="10" t="s">
        <v>393</v>
      </c>
      <c r="D190" s="10" t="s">
        <v>63</v>
      </c>
      <c r="E190" s="10" t="s">
        <v>109</v>
      </c>
      <c r="F190" s="9" t="n">
        <v>-1422510.49</v>
      </c>
      <c r="G190" s="9" t="n">
        <v>-1422510.49</v>
      </c>
      <c r="H190" s="10" t="s">
        <v>215</v>
      </c>
      <c r="I190" s="9" t="n">
        <v>0</v>
      </c>
      <c r="J190" s="10" t="s">
        <v>66</v>
      </c>
      <c r="K190" s="10" t="s">
        <v>66</v>
      </c>
    </row>
    <row r="191" customFormat="false" ht="15" hidden="false" customHeight="false" outlineLevel="0" collapsed="false">
      <c r="A191" s="10" t="s">
        <v>60</v>
      </c>
      <c r="B191" s="10" t="s">
        <v>83</v>
      </c>
      <c r="C191" s="10" t="s">
        <v>394</v>
      </c>
      <c r="D191" s="10" t="s">
        <v>200</v>
      </c>
      <c r="E191" s="10" t="s">
        <v>109</v>
      </c>
      <c r="F191" s="9" t="n">
        <v>117098.64</v>
      </c>
      <c r="G191" s="9" t="n">
        <v>117098.64</v>
      </c>
      <c r="H191" s="10" t="s">
        <v>215</v>
      </c>
      <c r="I191" s="9" t="n">
        <v>0</v>
      </c>
      <c r="J191" s="10" t="s">
        <v>226</v>
      </c>
      <c r="K191" s="10" t="s">
        <v>226</v>
      </c>
    </row>
    <row r="192" customFormat="false" ht="15" hidden="false" customHeight="false" outlineLevel="0" collapsed="false">
      <c r="A192" s="10" t="s">
        <v>60</v>
      </c>
      <c r="B192" s="10" t="s">
        <v>93</v>
      </c>
      <c r="C192" s="10" t="s">
        <v>395</v>
      </c>
      <c r="D192" s="10" t="s">
        <v>151</v>
      </c>
      <c r="E192" s="10" t="s">
        <v>109</v>
      </c>
      <c r="F192" s="9" t="n">
        <v>-17354.88</v>
      </c>
      <c r="G192" s="9" t="n">
        <v>-17354.88</v>
      </c>
      <c r="H192" s="10" t="s">
        <v>215</v>
      </c>
      <c r="I192" s="9" t="n">
        <v>0</v>
      </c>
      <c r="J192" s="10" t="s">
        <v>226</v>
      </c>
      <c r="K192" s="10" t="s">
        <v>226</v>
      </c>
    </row>
    <row r="193" customFormat="false" ht="15" hidden="false" customHeight="false" outlineLevel="0" collapsed="false">
      <c r="A193" s="10" t="s">
        <v>60</v>
      </c>
      <c r="B193" s="10" t="s">
        <v>83</v>
      </c>
      <c r="C193" s="10" t="s">
        <v>396</v>
      </c>
      <c r="D193" s="10" t="s">
        <v>151</v>
      </c>
      <c r="E193" s="10" t="s">
        <v>109</v>
      </c>
      <c r="F193" s="9" t="n">
        <v>-7324.23</v>
      </c>
      <c r="G193" s="9" t="n">
        <v>-7324.23</v>
      </c>
      <c r="H193" s="10" t="s">
        <v>215</v>
      </c>
      <c r="I193" s="9" t="n">
        <v>0</v>
      </c>
      <c r="J193" s="10" t="s">
        <v>119</v>
      </c>
      <c r="K193" s="10" t="s">
        <v>119</v>
      </c>
    </row>
    <row r="194" customFormat="false" ht="15" hidden="false" customHeight="false" outlineLevel="0" collapsed="false">
      <c r="A194" s="10" t="s">
        <v>60</v>
      </c>
      <c r="B194" s="10" t="s">
        <v>61</v>
      </c>
      <c r="C194" s="10" t="s">
        <v>397</v>
      </c>
      <c r="D194" s="10" t="s">
        <v>151</v>
      </c>
      <c r="E194" s="10" t="s">
        <v>109</v>
      </c>
      <c r="F194" s="9" t="n">
        <v>-18811.53</v>
      </c>
      <c r="G194" s="9" t="n">
        <v>-18811.53</v>
      </c>
      <c r="H194" s="10" t="s">
        <v>215</v>
      </c>
      <c r="I194" s="9" t="n">
        <v>0</v>
      </c>
      <c r="J194" s="10" t="s">
        <v>234</v>
      </c>
      <c r="K194" s="10" t="s">
        <v>234</v>
      </c>
    </row>
    <row r="195" customFormat="false" ht="15" hidden="false" customHeight="false" outlineLevel="0" collapsed="false">
      <c r="A195" s="10" t="s">
        <v>60</v>
      </c>
      <c r="B195" s="10" t="s">
        <v>83</v>
      </c>
      <c r="C195" s="10" t="s">
        <v>398</v>
      </c>
      <c r="D195" s="10" t="s">
        <v>164</v>
      </c>
      <c r="E195" s="10" t="s">
        <v>109</v>
      </c>
      <c r="F195" s="9" t="n">
        <v>290411.08</v>
      </c>
      <c r="G195" s="9" t="n">
        <v>290411.08</v>
      </c>
      <c r="H195" s="10" t="s">
        <v>215</v>
      </c>
      <c r="I195" s="9" t="n">
        <v>0</v>
      </c>
      <c r="J195" s="10" t="s">
        <v>130</v>
      </c>
      <c r="K195" s="10" t="s">
        <v>130</v>
      </c>
    </row>
    <row r="196" customFormat="false" ht="15" hidden="false" customHeight="false" outlineLevel="0" collapsed="false">
      <c r="A196" s="10" t="s">
        <v>60</v>
      </c>
      <c r="B196" s="10" t="s">
        <v>89</v>
      </c>
      <c r="C196" s="10" t="s">
        <v>399</v>
      </c>
      <c r="D196" s="10" t="s">
        <v>200</v>
      </c>
      <c r="E196" s="10" t="s">
        <v>109</v>
      </c>
      <c r="F196" s="9" t="n">
        <v>1982794.39</v>
      </c>
      <c r="G196" s="9" t="n">
        <v>1982794.39</v>
      </c>
      <c r="H196" s="10" t="s">
        <v>215</v>
      </c>
      <c r="I196" s="9" t="n">
        <v>0</v>
      </c>
      <c r="J196" s="10" t="s">
        <v>243</v>
      </c>
      <c r="K196" s="10" t="s">
        <v>243</v>
      </c>
    </row>
    <row r="197" customFormat="false" ht="15" hidden="false" customHeight="false" outlineLevel="0" collapsed="false">
      <c r="A197" s="10" t="s">
        <v>60</v>
      </c>
      <c r="B197" s="10" t="s">
        <v>89</v>
      </c>
      <c r="C197" s="10" t="s">
        <v>400</v>
      </c>
      <c r="D197" s="10" t="s">
        <v>164</v>
      </c>
      <c r="E197" s="10" t="s">
        <v>64</v>
      </c>
      <c r="F197" s="9" t="n">
        <v>261627.5</v>
      </c>
      <c r="G197" s="9" t="n">
        <v>261627.5</v>
      </c>
      <c r="H197" s="10" t="s">
        <v>215</v>
      </c>
      <c r="I197" s="9" t="n">
        <v>0</v>
      </c>
      <c r="J197" s="10" t="s">
        <v>223</v>
      </c>
      <c r="K197" s="10" t="s">
        <v>223</v>
      </c>
    </row>
    <row r="198" customFormat="false" ht="15" hidden="false" customHeight="false" outlineLevel="0" collapsed="false">
      <c r="A198" s="10" t="s">
        <v>60</v>
      </c>
      <c r="B198" s="10" t="s">
        <v>89</v>
      </c>
      <c r="C198" s="10" t="s">
        <v>401</v>
      </c>
      <c r="D198" s="10" t="s">
        <v>63</v>
      </c>
      <c r="E198" s="10" t="s">
        <v>109</v>
      </c>
      <c r="F198" s="9" t="n">
        <v>2106677.2</v>
      </c>
      <c r="G198" s="9" t="n">
        <v>2106677.2</v>
      </c>
      <c r="H198" s="10" t="s">
        <v>215</v>
      </c>
      <c r="I198" s="9" t="n">
        <v>0</v>
      </c>
      <c r="J198" s="10" t="s">
        <v>243</v>
      </c>
      <c r="K198" s="10" t="s">
        <v>243</v>
      </c>
    </row>
    <row r="199" customFormat="false" ht="15" hidden="false" customHeight="false" outlineLevel="0" collapsed="false">
      <c r="A199" s="10" t="s">
        <v>60</v>
      </c>
      <c r="B199" s="10" t="s">
        <v>83</v>
      </c>
      <c r="C199" s="10" t="s">
        <v>402</v>
      </c>
      <c r="D199" s="10" t="s">
        <v>63</v>
      </c>
      <c r="E199" s="10" t="s">
        <v>109</v>
      </c>
      <c r="F199" s="9" t="n">
        <v>-1554181</v>
      </c>
      <c r="G199" s="9" t="n">
        <v>-1554181</v>
      </c>
      <c r="H199" s="10" t="s">
        <v>215</v>
      </c>
      <c r="I199" s="9" t="n">
        <v>0</v>
      </c>
      <c r="J199" s="10" t="s">
        <v>228</v>
      </c>
      <c r="K199" s="10" t="s">
        <v>228</v>
      </c>
    </row>
    <row r="200" customFormat="false" ht="15" hidden="false" customHeight="false" outlineLevel="0" collapsed="false">
      <c r="A200" s="10" t="s">
        <v>60</v>
      </c>
      <c r="B200" s="10" t="s">
        <v>83</v>
      </c>
      <c r="C200" s="10" t="s">
        <v>403</v>
      </c>
      <c r="D200" s="10" t="s">
        <v>200</v>
      </c>
      <c r="E200" s="10" t="s">
        <v>109</v>
      </c>
      <c r="F200" s="9" t="n">
        <v>-2457853.65</v>
      </c>
      <c r="G200" s="9" t="n">
        <v>-2457853.65</v>
      </c>
      <c r="H200" s="10" t="s">
        <v>215</v>
      </c>
      <c r="I200" s="9" t="n">
        <v>0</v>
      </c>
      <c r="J200" s="10" t="s">
        <v>91</v>
      </c>
      <c r="K200" s="10" t="s">
        <v>91</v>
      </c>
    </row>
  </sheetData>
  <autoFilter ref="A1:K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7" min="6" style="0" width="15"/>
    <col collapsed="false" customWidth="true" hidden="false" outlineLevel="0" max="8" min="8" style="0" width="2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44</v>
      </c>
      <c r="G1" s="12" t="s">
        <v>45</v>
      </c>
      <c r="H1" s="12" t="s">
        <v>213</v>
      </c>
      <c r="I1" s="12" t="s">
        <v>46</v>
      </c>
      <c r="J1" s="12" t="s">
        <v>48</v>
      </c>
      <c r="K1" s="12" t="s">
        <v>49</v>
      </c>
    </row>
    <row r="2" customFormat="false" ht="15" hidden="false" customHeight="false" outlineLevel="0" collapsed="false">
      <c r="A2" s="10" t="s">
        <v>74</v>
      </c>
      <c r="B2" s="10" t="s">
        <v>61</v>
      </c>
      <c r="C2" s="10" t="s">
        <v>404</v>
      </c>
      <c r="D2" s="10" t="s">
        <v>405</v>
      </c>
      <c r="E2" s="10" t="s">
        <v>109</v>
      </c>
      <c r="F2" s="6" t="n">
        <v>6250</v>
      </c>
      <c r="G2" s="6" t="n">
        <v>6250</v>
      </c>
      <c r="H2" s="10" t="s">
        <v>215</v>
      </c>
      <c r="I2" s="6" t="n">
        <v>0</v>
      </c>
      <c r="J2" s="10" t="s">
        <v>77</v>
      </c>
      <c r="K2" s="10" t="s">
        <v>77</v>
      </c>
    </row>
    <row r="3" customFormat="false" ht="15" hidden="false" customHeight="false" outlineLevel="0" collapsed="false">
      <c r="A3" s="10" t="s">
        <v>74</v>
      </c>
      <c r="B3" s="10" t="s">
        <v>61</v>
      </c>
      <c r="C3" s="10" t="s">
        <v>406</v>
      </c>
      <c r="D3" s="10" t="s">
        <v>407</v>
      </c>
      <c r="E3" s="10" t="s">
        <v>109</v>
      </c>
      <c r="F3" s="6" t="n">
        <v>31850</v>
      </c>
      <c r="G3" s="6" t="n">
        <v>31850</v>
      </c>
      <c r="H3" s="10" t="s">
        <v>215</v>
      </c>
      <c r="I3" s="6" t="n">
        <v>0</v>
      </c>
      <c r="J3" s="10" t="s">
        <v>77</v>
      </c>
      <c r="K3" s="10" t="s">
        <v>77</v>
      </c>
    </row>
    <row r="4" customFormat="false" ht="15" hidden="false" customHeight="false" outlineLevel="0" collapsed="false">
      <c r="A4" s="10" t="s">
        <v>74</v>
      </c>
      <c r="B4" s="10" t="s">
        <v>61</v>
      </c>
      <c r="C4" s="10" t="s">
        <v>186</v>
      </c>
      <c r="D4" s="10" t="s">
        <v>187</v>
      </c>
      <c r="E4" s="10" t="s">
        <v>109</v>
      </c>
      <c r="F4" s="6" t="n">
        <v>16100</v>
      </c>
      <c r="G4" s="6" t="n">
        <v>16002</v>
      </c>
      <c r="H4" s="10" t="s">
        <v>23</v>
      </c>
      <c r="I4" s="6" t="n">
        <v>-98</v>
      </c>
      <c r="J4" s="10" t="s">
        <v>77</v>
      </c>
      <c r="K4" s="10" t="s">
        <v>77</v>
      </c>
    </row>
    <row r="5" customFormat="false" ht="15" hidden="false" customHeight="false" outlineLevel="0" collapsed="false">
      <c r="A5" s="10" t="s">
        <v>74</v>
      </c>
      <c r="B5" s="10" t="s">
        <v>61</v>
      </c>
      <c r="C5" s="10" t="s">
        <v>196</v>
      </c>
      <c r="D5" s="10" t="s">
        <v>197</v>
      </c>
      <c r="E5" s="10" t="s">
        <v>109</v>
      </c>
      <c r="F5" s="6" t="n">
        <v>37700</v>
      </c>
      <c r="G5" s="6" t="n">
        <v>37745</v>
      </c>
      <c r="H5" s="10" t="s">
        <v>23</v>
      </c>
      <c r="I5" s="6" t="n">
        <v>45</v>
      </c>
      <c r="J5" s="10" t="s">
        <v>77</v>
      </c>
      <c r="K5" s="10" t="s">
        <v>77</v>
      </c>
    </row>
    <row r="6" customFormat="false" ht="15" hidden="false" customHeight="false" outlineLevel="0" collapsed="false">
      <c r="A6" s="10" t="s">
        <v>74</v>
      </c>
      <c r="B6" s="10" t="s">
        <v>61</v>
      </c>
      <c r="C6" s="10" t="s">
        <v>408</v>
      </c>
      <c r="D6" s="10" t="s">
        <v>135</v>
      </c>
      <c r="E6" s="10" t="s">
        <v>109</v>
      </c>
      <c r="F6" s="6" t="n">
        <v>5050</v>
      </c>
      <c r="G6" s="6" t="n">
        <v>5050</v>
      </c>
      <c r="H6" s="10" t="s">
        <v>215</v>
      </c>
      <c r="I6" s="6" t="n">
        <v>0</v>
      </c>
      <c r="J6" s="10" t="s">
        <v>77</v>
      </c>
      <c r="K6" s="10" t="s">
        <v>77</v>
      </c>
    </row>
    <row r="7" customFormat="false" ht="15" hidden="false" customHeight="false" outlineLevel="0" collapsed="false">
      <c r="A7" s="10" t="s">
        <v>74</v>
      </c>
      <c r="B7" s="10" t="s">
        <v>61</v>
      </c>
      <c r="C7" s="10" t="s">
        <v>409</v>
      </c>
      <c r="D7" s="10" t="s">
        <v>108</v>
      </c>
      <c r="E7" s="10" t="s">
        <v>109</v>
      </c>
      <c r="F7" s="6" t="n">
        <v>23800</v>
      </c>
      <c r="G7" s="6" t="n">
        <v>23800</v>
      </c>
      <c r="H7" s="10" t="s">
        <v>215</v>
      </c>
      <c r="I7" s="6" t="n">
        <v>0</v>
      </c>
      <c r="J7" s="10" t="s">
        <v>77</v>
      </c>
      <c r="K7" s="10" t="s">
        <v>77</v>
      </c>
    </row>
    <row r="8" customFormat="false" ht="15" hidden="false" customHeight="false" outlineLevel="0" collapsed="false">
      <c r="A8" s="10" t="s">
        <v>74</v>
      </c>
      <c r="B8" s="10" t="s">
        <v>61</v>
      </c>
      <c r="C8" s="10" t="s">
        <v>75</v>
      </c>
      <c r="D8" s="10" t="s">
        <v>76</v>
      </c>
      <c r="E8" s="10" t="s">
        <v>64</v>
      </c>
      <c r="F8" s="6" t="n">
        <v>16650</v>
      </c>
      <c r="G8" s="10"/>
      <c r="H8" s="10" t="s">
        <v>18</v>
      </c>
      <c r="I8" s="6" t="n">
        <v>-16650</v>
      </c>
      <c r="J8" s="10" t="s">
        <v>77</v>
      </c>
      <c r="K8" s="10" t="s">
        <v>77</v>
      </c>
    </row>
    <row r="9" customFormat="false" ht="15" hidden="false" customHeight="false" outlineLevel="0" collapsed="false">
      <c r="A9" s="10" t="s">
        <v>74</v>
      </c>
      <c r="B9" s="10" t="s">
        <v>61</v>
      </c>
      <c r="C9" s="10" t="s">
        <v>410</v>
      </c>
      <c r="D9" s="10" t="s">
        <v>102</v>
      </c>
      <c r="E9" s="10" t="s">
        <v>64</v>
      </c>
      <c r="F9" s="6" t="n">
        <v>34800</v>
      </c>
      <c r="G9" s="6" t="n">
        <v>34800</v>
      </c>
      <c r="H9" s="10" t="s">
        <v>215</v>
      </c>
      <c r="I9" s="6" t="n">
        <v>0</v>
      </c>
      <c r="J9" s="10" t="s">
        <v>77</v>
      </c>
      <c r="K9" s="10" t="s">
        <v>77</v>
      </c>
    </row>
    <row r="10" customFormat="false" ht="15" hidden="false" customHeight="false" outlineLevel="0" collapsed="false">
      <c r="A10" s="10" t="s">
        <v>74</v>
      </c>
      <c r="B10" s="10" t="s">
        <v>61</v>
      </c>
      <c r="C10" s="10" t="s">
        <v>411</v>
      </c>
      <c r="D10" s="10" t="s">
        <v>412</v>
      </c>
      <c r="E10" s="10" t="s">
        <v>64</v>
      </c>
      <c r="F10" s="6" t="n">
        <v>17750</v>
      </c>
      <c r="G10" s="6" t="n">
        <v>17750</v>
      </c>
      <c r="H10" s="10" t="s">
        <v>215</v>
      </c>
      <c r="I10" s="6" t="n">
        <v>0</v>
      </c>
      <c r="J10" s="10" t="s">
        <v>77</v>
      </c>
      <c r="K10" s="10" t="s">
        <v>77</v>
      </c>
    </row>
    <row r="11" customFormat="false" ht="15" hidden="false" customHeight="false" outlineLevel="0" collapsed="false">
      <c r="A11" s="10" t="s">
        <v>74</v>
      </c>
      <c r="B11" s="10" t="s">
        <v>93</v>
      </c>
      <c r="C11" s="10" t="s">
        <v>413</v>
      </c>
      <c r="D11" s="10" t="s">
        <v>113</v>
      </c>
      <c r="E11" s="10" t="s">
        <v>109</v>
      </c>
      <c r="F11" s="6" t="n">
        <v>35350</v>
      </c>
      <c r="G11" s="6" t="n">
        <v>35350</v>
      </c>
      <c r="H11" s="10" t="s">
        <v>215</v>
      </c>
      <c r="I11" s="6" t="n">
        <v>0</v>
      </c>
      <c r="J11" s="10" t="s">
        <v>77</v>
      </c>
      <c r="K11" s="10" t="s">
        <v>77</v>
      </c>
    </row>
    <row r="12" customFormat="false" ht="15" hidden="false" customHeight="false" outlineLevel="0" collapsed="false">
      <c r="A12" s="10" t="s">
        <v>74</v>
      </c>
      <c r="B12" s="10" t="s">
        <v>93</v>
      </c>
      <c r="C12" s="10" t="s">
        <v>414</v>
      </c>
      <c r="D12" s="10" t="s">
        <v>405</v>
      </c>
      <c r="E12" s="10" t="s">
        <v>109</v>
      </c>
      <c r="F12" s="6" t="n">
        <v>19600</v>
      </c>
      <c r="G12" s="6" t="n">
        <v>19600</v>
      </c>
      <c r="H12" s="10" t="s">
        <v>215</v>
      </c>
      <c r="I12" s="6" t="n">
        <v>0</v>
      </c>
      <c r="J12" s="10" t="s">
        <v>77</v>
      </c>
      <c r="K12" s="10" t="s">
        <v>77</v>
      </c>
    </row>
    <row r="13" customFormat="false" ht="15" hidden="false" customHeight="false" outlineLevel="0" collapsed="false">
      <c r="A13" s="10" t="s">
        <v>74</v>
      </c>
      <c r="B13" s="10" t="s">
        <v>93</v>
      </c>
      <c r="C13" s="10" t="s">
        <v>415</v>
      </c>
      <c r="D13" s="10" t="s">
        <v>407</v>
      </c>
      <c r="E13" s="10" t="s">
        <v>109</v>
      </c>
      <c r="F13" s="6" t="n">
        <v>41500</v>
      </c>
      <c r="G13" s="6" t="n">
        <v>41500</v>
      </c>
      <c r="H13" s="10" t="s">
        <v>215</v>
      </c>
      <c r="I13" s="6" t="n">
        <v>0</v>
      </c>
      <c r="J13" s="10" t="s">
        <v>77</v>
      </c>
      <c r="K13" s="10" t="s">
        <v>77</v>
      </c>
    </row>
    <row r="14" customFormat="false" ht="15" hidden="false" customHeight="false" outlineLevel="0" collapsed="false">
      <c r="A14" s="10" t="s">
        <v>74</v>
      </c>
      <c r="B14" s="10" t="s">
        <v>93</v>
      </c>
      <c r="C14" s="10" t="s">
        <v>416</v>
      </c>
      <c r="D14" s="10" t="s">
        <v>417</v>
      </c>
      <c r="E14" s="10" t="s">
        <v>109</v>
      </c>
      <c r="F14" s="6" t="n">
        <v>4800</v>
      </c>
      <c r="G14" s="6" t="n">
        <v>4800</v>
      </c>
      <c r="H14" s="10" t="s">
        <v>215</v>
      </c>
      <c r="I14" s="6" t="n">
        <v>0</v>
      </c>
      <c r="J14" s="10" t="s">
        <v>77</v>
      </c>
      <c r="K14" s="10" t="s">
        <v>77</v>
      </c>
    </row>
    <row r="15" customFormat="false" ht="15" hidden="false" customHeight="false" outlineLevel="0" collapsed="false">
      <c r="A15" s="10" t="s">
        <v>74</v>
      </c>
      <c r="B15" s="10" t="s">
        <v>93</v>
      </c>
      <c r="C15" s="10" t="s">
        <v>418</v>
      </c>
      <c r="D15" s="10" t="s">
        <v>197</v>
      </c>
      <c r="E15" s="10" t="s">
        <v>109</v>
      </c>
      <c r="F15" s="6" t="n">
        <v>3900</v>
      </c>
      <c r="G15" s="6" t="n">
        <v>3900</v>
      </c>
      <c r="H15" s="10" t="s">
        <v>215</v>
      </c>
      <c r="I15" s="6" t="n">
        <v>0</v>
      </c>
      <c r="J15" s="10" t="s">
        <v>77</v>
      </c>
      <c r="K15" s="10" t="s">
        <v>77</v>
      </c>
    </row>
    <row r="16" customFormat="false" ht="15" hidden="false" customHeight="false" outlineLevel="0" collapsed="false">
      <c r="A16" s="10" t="s">
        <v>74</v>
      </c>
      <c r="B16" s="10" t="s">
        <v>93</v>
      </c>
      <c r="C16" s="10" t="s">
        <v>419</v>
      </c>
      <c r="D16" s="10" t="s">
        <v>135</v>
      </c>
      <c r="E16" s="10" t="s">
        <v>109</v>
      </c>
      <c r="F16" s="6" t="n">
        <v>33700</v>
      </c>
      <c r="G16" s="6" t="n">
        <v>33700</v>
      </c>
      <c r="H16" s="10" t="s">
        <v>215</v>
      </c>
      <c r="I16" s="6" t="n">
        <v>0</v>
      </c>
      <c r="J16" s="10" t="s">
        <v>77</v>
      </c>
      <c r="K16" s="10" t="s">
        <v>77</v>
      </c>
    </row>
    <row r="17" customFormat="false" ht="15" hidden="false" customHeight="false" outlineLevel="0" collapsed="false">
      <c r="A17" s="10" t="s">
        <v>74</v>
      </c>
      <c r="B17" s="10" t="s">
        <v>93</v>
      </c>
      <c r="C17" s="10" t="s">
        <v>107</v>
      </c>
      <c r="D17" s="10" t="s">
        <v>108</v>
      </c>
      <c r="E17" s="10" t="s">
        <v>109</v>
      </c>
      <c r="F17" s="6" t="n">
        <v>49500</v>
      </c>
      <c r="G17" s="6" t="n">
        <v>99000</v>
      </c>
      <c r="H17" s="10" t="s">
        <v>23</v>
      </c>
      <c r="I17" s="6" t="n">
        <v>49500</v>
      </c>
      <c r="J17" s="10" t="s">
        <v>77</v>
      </c>
      <c r="K17" s="10" t="s">
        <v>77</v>
      </c>
    </row>
    <row r="18" customFormat="false" ht="15" hidden="false" customHeight="false" outlineLevel="0" collapsed="false">
      <c r="A18" s="10" t="s">
        <v>74</v>
      </c>
      <c r="B18" s="10" t="s">
        <v>93</v>
      </c>
      <c r="C18" s="10" t="s">
        <v>420</v>
      </c>
      <c r="D18" s="10" t="s">
        <v>102</v>
      </c>
      <c r="E18" s="10" t="s">
        <v>64</v>
      </c>
      <c r="F18" s="6" t="n">
        <v>33600</v>
      </c>
      <c r="G18" s="6" t="n">
        <v>33600</v>
      </c>
      <c r="H18" s="10" t="s">
        <v>215</v>
      </c>
      <c r="I18" s="6" t="n">
        <v>0</v>
      </c>
      <c r="J18" s="10" t="s">
        <v>77</v>
      </c>
      <c r="K18" s="10" t="s">
        <v>77</v>
      </c>
    </row>
    <row r="19" customFormat="false" ht="15" hidden="false" customHeight="false" outlineLevel="0" collapsed="false">
      <c r="A19" s="10" t="s">
        <v>74</v>
      </c>
      <c r="B19" s="10" t="s">
        <v>93</v>
      </c>
      <c r="C19" s="10" t="s">
        <v>421</v>
      </c>
      <c r="D19" s="10" t="s">
        <v>412</v>
      </c>
      <c r="E19" s="10" t="s">
        <v>64</v>
      </c>
      <c r="F19" s="6" t="n">
        <v>21750</v>
      </c>
      <c r="G19" s="6" t="n">
        <v>21750</v>
      </c>
      <c r="H19" s="10" t="s">
        <v>215</v>
      </c>
      <c r="I19" s="6" t="n">
        <v>0</v>
      </c>
      <c r="J19" s="10" t="s">
        <v>77</v>
      </c>
      <c r="K19" s="10" t="s">
        <v>77</v>
      </c>
    </row>
    <row r="20" customFormat="false" ht="15" hidden="false" customHeight="false" outlineLevel="0" collapsed="false">
      <c r="A20" s="10" t="s">
        <v>74</v>
      </c>
      <c r="B20" s="10" t="s">
        <v>111</v>
      </c>
      <c r="C20" s="10" t="s">
        <v>112</v>
      </c>
      <c r="D20" s="10" t="s">
        <v>113</v>
      </c>
      <c r="E20" s="10" t="s">
        <v>109</v>
      </c>
      <c r="F20" s="6" t="n">
        <v>40850</v>
      </c>
      <c r="G20" s="10"/>
      <c r="H20" s="10" t="s">
        <v>18</v>
      </c>
      <c r="I20" s="6" t="n">
        <v>-40850</v>
      </c>
      <c r="J20" s="10" t="s">
        <v>77</v>
      </c>
      <c r="K20" s="10" t="s">
        <v>77</v>
      </c>
    </row>
    <row r="21" customFormat="false" ht="15" hidden="false" customHeight="false" outlineLevel="0" collapsed="false">
      <c r="A21" s="10" t="s">
        <v>74</v>
      </c>
      <c r="B21" s="10" t="s">
        <v>111</v>
      </c>
      <c r="C21" s="10" t="s">
        <v>422</v>
      </c>
      <c r="D21" s="10" t="s">
        <v>407</v>
      </c>
      <c r="E21" s="10" t="s">
        <v>109</v>
      </c>
      <c r="F21" s="6" t="n">
        <v>13050</v>
      </c>
      <c r="G21" s="6" t="n">
        <v>13050</v>
      </c>
      <c r="H21" s="10" t="s">
        <v>215</v>
      </c>
      <c r="I21" s="6" t="n">
        <v>0</v>
      </c>
      <c r="J21" s="10" t="s">
        <v>77</v>
      </c>
      <c r="K21" s="10" t="s">
        <v>77</v>
      </c>
    </row>
    <row r="22" customFormat="false" ht="15" hidden="false" customHeight="false" outlineLevel="0" collapsed="false">
      <c r="A22" s="10" t="s">
        <v>74</v>
      </c>
      <c r="B22" s="10" t="s">
        <v>111</v>
      </c>
      <c r="C22" s="10" t="s">
        <v>423</v>
      </c>
      <c r="D22" s="10" t="s">
        <v>417</v>
      </c>
      <c r="E22" s="10" t="s">
        <v>109</v>
      </c>
      <c r="F22" s="6" t="n">
        <v>20600</v>
      </c>
      <c r="G22" s="6" t="n">
        <v>20600</v>
      </c>
      <c r="H22" s="10" t="s">
        <v>215</v>
      </c>
      <c r="I22" s="6" t="n">
        <v>0</v>
      </c>
      <c r="J22" s="10" t="s">
        <v>77</v>
      </c>
      <c r="K22" s="10" t="s">
        <v>77</v>
      </c>
    </row>
    <row r="23" customFormat="false" ht="15" hidden="false" customHeight="false" outlineLevel="0" collapsed="false">
      <c r="A23" s="10" t="s">
        <v>74</v>
      </c>
      <c r="B23" s="10" t="s">
        <v>111</v>
      </c>
      <c r="C23" s="10" t="s">
        <v>424</v>
      </c>
      <c r="D23" s="10" t="s">
        <v>187</v>
      </c>
      <c r="E23" s="10" t="s">
        <v>109</v>
      </c>
      <c r="F23" s="6" t="n">
        <v>19500</v>
      </c>
      <c r="G23" s="6" t="n">
        <v>19500</v>
      </c>
      <c r="H23" s="10" t="s">
        <v>215</v>
      </c>
      <c r="I23" s="6" t="n">
        <v>0</v>
      </c>
      <c r="J23" s="10" t="s">
        <v>77</v>
      </c>
      <c r="K23" s="10" t="s">
        <v>77</v>
      </c>
    </row>
    <row r="24" customFormat="false" ht="15" hidden="false" customHeight="false" outlineLevel="0" collapsed="false">
      <c r="A24" s="10" t="s">
        <v>74</v>
      </c>
      <c r="B24" s="10" t="s">
        <v>111</v>
      </c>
      <c r="C24" s="10" t="s">
        <v>425</v>
      </c>
      <c r="D24" s="10" t="s">
        <v>197</v>
      </c>
      <c r="E24" s="10" t="s">
        <v>109</v>
      </c>
      <c r="F24" s="6" t="n">
        <v>30000</v>
      </c>
      <c r="G24" s="6" t="n">
        <v>30000</v>
      </c>
      <c r="H24" s="10" t="s">
        <v>215</v>
      </c>
      <c r="I24" s="6" t="n">
        <v>0</v>
      </c>
      <c r="J24" s="10" t="s">
        <v>77</v>
      </c>
      <c r="K24" s="10" t="s">
        <v>77</v>
      </c>
    </row>
    <row r="25" customFormat="false" ht="15" hidden="false" customHeight="false" outlineLevel="0" collapsed="false">
      <c r="A25" s="10" t="s">
        <v>74</v>
      </c>
      <c r="B25" s="10" t="s">
        <v>111</v>
      </c>
      <c r="C25" s="10" t="s">
        <v>134</v>
      </c>
      <c r="D25" s="10" t="s">
        <v>135</v>
      </c>
      <c r="E25" s="10" t="s">
        <v>109</v>
      </c>
      <c r="F25" s="10"/>
      <c r="G25" s="6" t="n">
        <v>19750</v>
      </c>
      <c r="H25" s="10" t="s">
        <v>19</v>
      </c>
      <c r="I25" s="6" t="n">
        <v>19750</v>
      </c>
      <c r="J25" s="10" t="s">
        <v>77</v>
      </c>
      <c r="K25" s="10" t="s">
        <v>77</v>
      </c>
    </row>
    <row r="26" customFormat="false" ht="15" hidden="false" customHeight="false" outlineLevel="0" collapsed="false">
      <c r="A26" s="10" t="s">
        <v>74</v>
      </c>
      <c r="B26" s="10" t="s">
        <v>111</v>
      </c>
      <c r="C26" s="10" t="s">
        <v>426</v>
      </c>
      <c r="D26" s="10" t="s">
        <v>76</v>
      </c>
      <c r="E26" s="10" t="s">
        <v>64</v>
      </c>
      <c r="F26" s="6" t="n">
        <v>4400</v>
      </c>
      <c r="G26" s="6" t="n">
        <v>4400</v>
      </c>
      <c r="H26" s="10" t="s">
        <v>215</v>
      </c>
      <c r="I26" s="6" t="n">
        <v>0</v>
      </c>
      <c r="J26" s="10" t="s">
        <v>77</v>
      </c>
      <c r="K26" s="10" t="s">
        <v>77</v>
      </c>
    </row>
    <row r="27" customFormat="false" ht="15" hidden="false" customHeight="false" outlineLevel="0" collapsed="false">
      <c r="A27" s="10" t="s">
        <v>74</v>
      </c>
      <c r="B27" s="10" t="s">
        <v>111</v>
      </c>
      <c r="C27" s="10" t="s">
        <v>427</v>
      </c>
      <c r="D27" s="10" t="s">
        <v>102</v>
      </c>
      <c r="E27" s="10" t="s">
        <v>64</v>
      </c>
      <c r="F27" s="6" t="n">
        <v>34000</v>
      </c>
      <c r="G27" s="6" t="n">
        <v>34000</v>
      </c>
      <c r="H27" s="10" t="s">
        <v>215</v>
      </c>
      <c r="I27" s="6" t="n">
        <v>0</v>
      </c>
      <c r="J27" s="10" t="s">
        <v>77</v>
      </c>
      <c r="K27" s="10" t="s">
        <v>77</v>
      </c>
    </row>
    <row r="28" customFormat="false" ht="15" hidden="false" customHeight="false" outlineLevel="0" collapsed="false">
      <c r="A28" s="10" t="s">
        <v>74</v>
      </c>
      <c r="B28" s="10" t="s">
        <v>111</v>
      </c>
      <c r="C28" s="10" t="s">
        <v>428</v>
      </c>
      <c r="D28" s="10" t="s">
        <v>412</v>
      </c>
      <c r="E28" s="10" t="s">
        <v>64</v>
      </c>
      <c r="F28" s="6" t="n">
        <v>49600</v>
      </c>
      <c r="G28" s="6" t="n">
        <v>49600</v>
      </c>
      <c r="H28" s="10" t="s">
        <v>215</v>
      </c>
      <c r="I28" s="6" t="n">
        <v>0</v>
      </c>
      <c r="J28" s="10" t="s">
        <v>77</v>
      </c>
      <c r="K28" s="10" t="s">
        <v>77</v>
      </c>
    </row>
    <row r="29" customFormat="false" ht="15" hidden="false" customHeight="false" outlineLevel="0" collapsed="false">
      <c r="A29" s="10" t="s">
        <v>74</v>
      </c>
      <c r="B29" s="10" t="s">
        <v>89</v>
      </c>
      <c r="C29" s="10" t="s">
        <v>429</v>
      </c>
      <c r="D29" s="10" t="s">
        <v>113</v>
      </c>
      <c r="E29" s="10" t="s">
        <v>109</v>
      </c>
      <c r="F29" s="6" t="n">
        <v>8000</v>
      </c>
      <c r="G29" s="6" t="n">
        <v>8000</v>
      </c>
      <c r="H29" s="10" t="s">
        <v>215</v>
      </c>
      <c r="I29" s="6" t="n">
        <v>0</v>
      </c>
      <c r="J29" s="10" t="s">
        <v>77</v>
      </c>
      <c r="K29" s="10" t="s">
        <v>77</v>
      </c>
    </row>
    <row r="30" customFormat="false" ht="15" hidden="false" customHeight="false" outlineLevel="0" collapsed="false">
      <c r="A30" s="10" t="s">
        <v>74</v>
      </c>
      <c r="B30" s="10" t="s">
        <v>89</v>
      </c>
      <c r="C30" s="10" t="s">
        <v>430</v>
      </c>
      <c r="D30" s="10" t="s">
        <v>407</v>
      </c>
      <c r="E30" s="10" t="s">
        <v>109</v>
      </c>
      <c r="F30" s="6" t="n">
        <v>19750</v>
      </c>
      <c r="G30" s="6" t="n">
        <v>19750</v>
      </c>
      <c r="H30" s="10" t="s">
        <v>215</v>
      </c>
      <c r="I30" s="6" t="n">
        <v>0</v>
      </c>
      <c r="J30" s="10" t="s">
        <v>77</v>
      </c>
      <c r="K30" s="10" t="s">
        <v>77</v>
      </c>
    </row>
    <row r="31" customFormat="false" ht="15" hidden="false" customHeight="false" outlineLevel="0" collapsed="false">
      <c r="A31" s="10" t="s">
        <v>74</v>
      </c>
      <c r="B31" s="10" t="s">
        <v>89</v>
      </c>
      <c r="C31" s="10" t="s">
        <v>431</v>
      </c>
      <c r="D31" s="10" t="s">
        <v>417</v>
      </c>
      <c r="E31" s="10" t="s">
        <v>109</v>
      </c>
      <c r="F31" s="6" t="n">
        <v>15250</v>
      </c>
      <c r="G31" s="6" t="n">
        <v>15250</v>
      </c>
      <c r="H31" s="10" t="s">
        <v>215</v>
      </c>
      <c r="I31" s="6" t="n">
        <v>0</v>
      </c>
      <c r="J31" s="10" t="s">
        <v>77</v>
      </c>
      <c r="K31" s="10" t="s">
        <v>77</v>
      </c>
    </row>
    <row r="32" customFormat="false" ht="15" hidden="false" customHeight="false" outlineLevel="0" collapsed="false">
      <c r="A32" s="10" t="s">
        <v>74</v>
      </c>
      <c r="B32" s="10" t="s">
        <v>89</v>
      </c>
      <c r="C32" s="10" t="s">
        <v>432</v>
      </c>
      <c r="D32" s="10" t="s">
        <v>197</v>
      </c>
      <c r="E32" s="10" t="s">
        <v>109</v>
      </c>
      <c r="F32" s="6" t="n">
        <v>6800</v>
      </c>
      <c r="G32" s="6" t="n">
        <v>6800</v>
      </c>
      <c r="H32" s="10" t="s">
        <v>215</v>
      </c>
      <c r="I32" s="6" t="n">
        <v>0</v>
      </c>
      <c r="J32" s="10" t="s">
        <v>77</v>
      </c>
      <c r="K32" s="10" t="s">
        <v>77</v>
      </c>
    </row>
    <row r="33" customFormat="false" ht="15" hidden="false" customHeight="false" outlineLevel="0" collapsed="false">
      <c r="A33" s="10" t="s">
        <v>74</v>
      </c>
      <c r="B33" s="10" t="s">
        <v>89</v>
      </c>
      <c r="C33" s="10" t="s">
        <v>433</v>
      </c>
      <c r="D33" s="10" t="s">
        <v>135</v>
      </c>
      <c r="E33" s="10" t="s">
        <v>109</v>
      </c>
      <c r="F33" s="6" t="n">
        <v>34250</v>
      </c>
      <c r="G33" s="6" t="n">
        <v>34250</v>
      </c>
      <c r="H33" s="10" t="s">
        <v>215</v>
      </c>
      <c r="I33" s="6" t="n">
        <v>0</v>
      </c>
      <c r="J33" s="10" t="s">
        <v>77</v>
      </c>
      <c r="K33" s="10" t="s">
        <v>77</v>
      </c>
    </row>
    <row r="34" customFormat="false" ht="15" hidden="false" customHeight="false" outlineLevel="0" collapsed="false">
      <c r="A34" s="10" t="s">
        <v>74</v>
      </c>
      <c r="B34" s="10" t="s">
        <v>89</v>
      </c>
      <c r="C34" s="10" t="s">
        <v>434</v>
      </c>
      <c r="D34" s="10" t="s">
        <v>108</v>
      </c>
      <c r="E34" s="10" t="s">
        <v>109</v>
      </c>
      <c r="F34" s="6" t="n">
        <v>21350</v>
      </c>
      <c r="G34" s="6" t="n">
        <v>21350</v>
      </c>
      <c r="H34" s="10" t="s">
        <v>215</v>
      </c>
      <c r="I34" s="6" t="n">
        <v>0</v>
      </c>
      <c r="J34" s="10" t="s">
        <v>77</v>
      </c>
      <c r="K34" s="10" t="s">
        <v>77</v>
      </c>
    </row>
    <row r="35" customFormat="false" ht="15" hidden="false" customHeight="false" outlineLevel="0" collapsed="false">
      <c r="A35" s="10" t="s">
        <v>74</v>
      </c>
      <c r="B35" s="10" t="s">
        <v>89</v>
      </c>
      <c r="C35" s="10" t="s">
        <v>435</v>
      </c>
      <c r="D35" s="10" t="s">
        <v>76</v>
      </c>
      <c r="E35" s="10" t="s">
        <v>64</v>
      </c>
      <c r="F35" s="6" t="n">
        <v>17050</v>
      </c>
      <c r="G35" s="6" t="n">
        <v>17050</v>
      </c>
      <c r="H35" s="10" t="s">
        <v>215</v>
      </c>
      <c r="I35" s="6" t="n">
        <v>0</v>
      </c>
      <c r="J35" s="10" t="s">
        <v>77</v>
      </c>
      <c r="K35" s="10" t="s">
        <v>77</v>
      </c>
    </row>
    <row r="36" customFormat="false" ht="15" hidden="false" customHeight="false" outlineLevel="0" collapsed="false">
      <c r="A36" s="10" t="s">
        <v>74</v>
      </c>
      <c r="B36" s="10" t="s">
        <v>89</v>
      </c>
      <c r="C36" s="10" t="s">
        <v>171</v>
      </c>
      <c r="D36" s="10" t="s">
        <v>102</v>
      </c>
      <c r="E36" s="10" t="s">
        <v>64</v>
      </c>
      <c r="F36" s="6" t="n">
        <v>28100</v>
      </c>
      <c r="G36" s="6" t="n">
        <v>28047</v>
      </c>
      <c r="H36" s="10" t="s">
        <v>23</v>
      </c>
      <c r="I36" s="6" t="n">
        <v>-53</v>
      </c>
      <c r="J36" s="10" t="s">
        <v>77</v>
      </c>
      <c r="K36" s="10" t="s">
        <v>77</v>
      </c>
    </row>
    <row r="37" customFormat="false" ht="15" hidden="false" customHeight="false" outlineLevel="0" collapsed="false">
      <c r="A37" s="10" t="s">
        <v>74</v>
      </c>
      <c r="B37" s="10" t="s">
        <v>89</v>
      </c>
      <c r="C37" s="10" t="s">
        <v>436</v>
      </c>
      <c r="D37" s="10" t="s">
        <v>412</v>
      </c>
      <c r="E37" s="10" t="s">
        <v>64</v>
      </c>
      <c r="F37" s="6" t="n">
        <v>13750</v>
      </c>
      <c r="G37" s="6" t="n">
        <v>13750</v>
      </c>
      <c r="H37" s="10" t="s">
        <v>215</v>
      </c>
      <c r="I37" s="6" t="n">
        <v>0</v>
      </c>
      <c r="J37" s="10" t="s">
        <v>77</v>
      </c>
      <c r="K37" s="10" t="s">
        <v>77</v>
      </c>
    </row>
    <row r="38" customFormat="false" ht="15" hidden="false" customHeight="false" outlineLevel="0" collapsed="false">
      <c r="A38" s="10" t="s">
        <v>74</v>
      </c>
      <c r="B38" s="10" t="s">
        <v>83</v>
      </c>
      <c r="C38" s="10" t="s">
        <v>437</v>
      </c>
      <c r="D38" s="10" t="s">
        <v>113</v>
      </c>
      <c r="E38" s="10" t="s">
        <v>109</v>
      </c>
      <c r="F38" s="6" t="n">
        <v>23800</v>
      </c>
      <c r="G38" s="6" t="n">
        <v>23800</v>
      </c>
      <c r="H38" s="10" t="s">
        <v>215</v>
      </c>
      <c r="I38" s="6" t="n">
        <v>0</v>
      </c>
      <c r="J38" s="10" t="s">
        <v>77</v>
      </c>
      <c r="K38" s="10" t="s">
        <v>77</v>
      </c>
    </row>
    <row r="39" customFormat="false" ht="15" hidden="false" customHeight="false" outlineLevel="0" collapsed="false">
      <c r="A39" s="10" t="s">
        <v>74</v>
      </c>
      <c r="B39" s="10" t="s">
        <v>83</v>
      </c>
      <c r="C39" s="10" t="s">
        <v>438</v>
      </c>
      <c r="D39" s="10" t="s">
        <v>407</v>
      </c>
      <c r="E39" s="10" t="s">
        <v>109</v>
      </c>
      <c r="F39" s="6" t="n">
        <v>11950</v>
      </c>
      <c r="G39" s="6" t="n">
        <v>11950</v>
      </c>
      <c r="H39" s="10" t="s">
        <v>215</v>
      </c>
      <c r="I39" s="6" t="n">
        <v>0</v>
      </c>
      <c r="J39" s="10" t="s">
        <v>77</v>
      </c>
      <c r="K39" s="10" t="s">
        <v>77</v>
      </c>
    </row>
    <row r="40" customFormat="false" ht="15" hidden="false" customHeight="false" outlineLevel="0" collapsed="false">
      <c r="A40" s="10" t="s">
        <v>74</v>
      </c>
      <c r="B40" s="10" t="s">
        <v>83</v>
      </c>
      <c r="C40" s="10" t="s">
        <v>439</v>
      </c>
      <c r="D40" s="10" t="s">
        <v>417</v>
      </c>
      <c r="E40" s="10" t="s">
        <v>109</v>
      </c>
      <c r="F40" s="6" t="n">
        <v>7250</v>
      </c>
      <c r="G40" s="6" t="n">
        <v>7250</v>
      </c>
      <c r="H40" s="10" t="s">
        <v>215</v>
      </c>
      <c r="I40" s="6" t="n">
        <v>0</v>
      </c>
      <c r="J40" s="10" t="s">
        <v>77</v>
      </c>
      <c r="K40" s="10" t="s">
        <v>77</v>
      </c>
    </row>
    <row r="41" customFormat="false" ht="15" hidden="false" customHeight="false" outlineLevel="0" collapsed="false">
      <c r="A41" s="10" t="s">
        <v>74</v>
      </c>
      <c r="B41" s="10" t="s">
        <v>83</v>
      </c>
      <c r="C41" s="10" t="s">
        <v>440</v>
      </c>
      <c r="D41" s="10" t="s">
        <v>187</v>
      </c>
      <c r="E41" s="10" t="s">
        <v>109</v>
      </c>
      <c r="F41" s="6" t="n">
        <v>36500</v>
      </c>
      <c r="G41" s="6" t="n">
        <v>36500</v>
      </c>
      <c r="H41" s="10" t="s">
        <v>215</v>
      </c>
      <c r="I41" s="6" t="n">
        <v>0</v>
      </c>
      <c r="J41" s="10" t="s">
        <v>77</v>
      </c>
      <c r="K41" s="10" t="s">
        <v>77</v>
      </c>
    </row>
    <row r="42" customFormat="false" ht="15" hidden="false" customHeight="false" outlineLevel="0" collapsed="false">
      <c r="A42" s="10" t="s">
        <v>74</v>
      </c>
      <c r="B42" s="10" t="s">
        <v>83</v>
      </c>
      <c r="C42" s="10" t="s">
        <v>441</v>
      </c>
      <c r="D42" s="10" t="s">
        <v>135</v>
      </c>
      <c r="E42" s="10" t="s">
        <v>109</v>
      </c>
      <c r="F42" s="6" t="n">
        <v>15600</v>
      </c>
      <c r="G42" s="6" t="n">
        <v>15600</v>
      </c>
      <c r="H42" s="10" t="s">
        <v>215</v>
      </c>
      <c r="I42" s="6" t="n">
        <v>0</v>
      </c>
      <c r="J42" s="10" t="s">
        <v>77</v>
      </c>
      <c r="K42" s="10" t="s">
        <v>77</v>
      </c>
    </row>
    <row r="43" customFormat="false" ht="15" hidden="false" customHeight="false" outlineLevel="0" collapsed="false">
      <c r="A43" s="10" t="s">
        <v>74</v>
      </c>
      <c r="B43" s="10" t="s">
        <v>83</v>
      </c>
      <c r="C43" s="10" t="s">
        <v>442</v>
      </c>
      <c r="D43" s="10" t="s">
        <v>108</v>
      </c>
      <c r="E43" s="10" t="s">
        <v>109</v>
      </c>
      <c r="F43" s="6" t="n">
        <v>32300</v>
      </c>
      <c r="G43" s="6" t="n">
        <v>32300</v>
      </c>
      <c r="H43" s="10" t="s">
        <v>215</v>
      </c>
      <c r="I43" s="6" t="n">
        <v>0</v>
      </c>
      <c r="J43" s="10" t="s">
        <v>77</v>
      </c>
      <c r="K43" s="10" t="s">
        <v>77</v>
      </c>
    </row>
    <row r="44" customFormat="false" ht="15" hidden="false" customHeight="false" outlineLevel="0" collapsed="false">
      <c r="A44" s="10" t="s">
        <v>74</v>
      </c>
      <c r="B44" s="10" t="s">
        <v>83</v>
      </c>
      <c r="C44" s="10" t="s">
        <v>84</v>
      </c>
      <c r="D44" s="10" t="s">
        <v>76</v>
      </c>
      <c r="E44" s="10" t="s">
        <v>64</v>
      </c>
      <c r="F44" s="10"/>
      <c r="G44" s="6" t="n">
        <v>11200</v>
      </c>
      <c r="H44" s="10" t="s">
        <v>19</v>
      </c>
      <c r="I44" s="6" t="n">
        <v>11200</v>
      </c>
      <c r="J44" s="10" t="s">
        <v>77</v>
      </c>
      <c r="K44" s="10" t="s">
        <v>77</v>
      </c>
    </row>
    <row r="45" customFormat="false" ht="15" hidden="false" customHeight="false" outlineLevel="0" collapsed="false">
      <c r="A45" s="10" t="s">
        <v>74</v>
      </c>
      <c r="B45" s="10" t="s">
        <v>83</v>
      </c>
      <c r="C45" s="10" t="s">
        <v>101</v>
      </c>
      <c r="D45" s="10" t="s">
        <v>102</v>
      </c>
      <c r="E45" s="10" t="s">
        <v>64</v>
      </c>
      <c r="F45" s="6" t="n">
        <v>26100</v>
      </c>
      <c r="G45" s="6" t="n">
        <v>39150</v>
      </c>
      <c r="H45" s="10" t="s">
        <v>23</v>
      </c>
      <c r="I45" s="6" t="n">
        <v>13050</v>
      </c>
      <c r="J45" s="10" t="s">
        <v>77</v>
      </c>
      <c r="K45" s="10" t="s">
        <v>77</v>
      </c>
    </row>
    <row r="46" customFormat="false" ht="15" hidden="false" customHeight="false" outlineLevel="0" collapsed="false">
      <c r="A46" s="10" t="s">
        <v>74</v>
      </c>
      <c r="B46" s="10" t="s">
        <v>83</v>
      </c>
      <c r="C46" s="10" t="s">
        <v>443</v>
      </c>
      <c r="D46" s="10" t="s">
        <v>412</v>
      </c>
      <c r="E46" s="10" t="s">
        <v>64</v>
      </c>
      <c r="F46" s="6" t="n">
        <v>47900</v>
      </c>
      <c r="G46" s="6" t="n">
        <v>47900</v>
      </c>
      <c r="H46" s="10" t="s">
        <v>215</v>
      </c>
      <c r="I46" s="6" t="n">
        <v>0</v>
      </c>
      <c r="J46" s="10" t="s">
        <v>77</v>
      </c>
      <c r="K46" s="10" t="s">
        <v>77</v>
      </c>
    </row>
  </sheetData>
  <autoFilter ref="A1:K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444</v>
      </c>
    </row>
    <row r="3" customFormat="false" ht="15" hidden="false" customHeight="false" outlineLevel="0" collapsed="false">
      <c r="A3" s="15" t="s">
        <v>445</v>
      </c>
      <c r="B3" s="15" t="s">
        <v>446</v>
      </c>
      <c r="C3" s="15" t="s">
        <v>447</v>
      </c>
    </row>
    <row r="4" customFormat="false" ht="15" hidden="false" customHeight="false" outlineLevel="0" collapsed="false">
      <c r="A4" s="10" t="s">
        <v>448</v>
      </c>
      <c r="B4" s="18" t="n">
        <v>0.01</v>
      </c>
      <c r="C4" s="10" t="s">
        <v>449</v>
      </c>
    </row>
    <row r="5" customFormat="false" ht="15" hidden="false" customHeight="false" outlineLevel="0" collapsed="false">
      <c r="A5" s="10" t="s">
        <v>450</v>
      </c>
      <c r="B5" s="18" t="n">
        <v>0</v>
      </c>
      <c r="C5" s="10" t="s">
        <v>451</v>
      </c>
    </row>
    <row r="6" customFormat="false" ht="15" hidden="false" customHeight="false" outlineLevel="0" collapsed="false">
      <c r="A6" s="10" t="s">
        <v>452</v>
      </c>
      <c r="B6" s="18" t="n">
        <v>84</v>
      </c>
      <c r="C6" s="10" t="s">
        <v>453</v>
      </c>
    </row>
    <row r="7" customFormat="false" ht="15" hidden="false" customHeight="false" outlineLevel="0" collapsed="false">
      <c r="A7" s="10" t="s">
        <v>454</v>
      </c>
      <c r="B7" s="18" t="n">
        <v>1000000</v>
      </c>
      <c r="C7" s="10" t="s">
        <v>455</v>
      </c>
    </row>
    <row r="8" customFormat="false" ht="15" hidden="false" customHeight="false" outlineLevel="0" collapsed="false">
      <c r="A8" s="10" t="s">
        <v>456</v>
      </c>
      <c r="B8" s="18" t="n">
        <v>100000</v>
      </c>
      <c r="C8" s="10" t="s">
        <v>457</v>
      </c>
    </row>
    <row r="9" customFormat="false" ht="15" hidden="false" customHeight="false" outlineLevel="0" collapsed="false">
      <c r="A9" s="10" t="s">
        <v>458</v>
      </c>
      <c r="B9" s="18" t="n">
        <v>6</v>
      </c>
      <c r="C9" s="10" t="s">
        <v>459</v>
      </c>
    </row>
    <row r="10" customFormat="false" ht="15" hidden="false" customHeight="false" outlineLevel="0" collapsed="false">
      <c r="A10" s="10" t="s">
        <v>460</v>
      </c>
      <c r="B10" s="18" t="n">
        <v>3</v>
      </c>
      <c r="C10" s="10" t="s">
        <v>461</v>
      </c>
    </row>
    <row r="11" customFormat="false" ht="15" hidden="false" customHeight="false" outlineLevel="0" collapsed="false">
      <c r="A11" s="10" t="s">
        <v>462</v>
      </c>
      <c r="B11" s="18" t="s">
        <v>463</v>
      </c>
      <c r="C11" s="10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2026-10-27T03:17:20Z</dcterms:created>
  <dc:creator>openpyxl</dc:creator>
  <dc:description/>
  <dc:language>en-US</dc:language>
  <cp:lastModifiedBy/>
  <dcterms:modified xsi:type="dcterms:W3CDTF">2026-10-27T03:17:20Z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